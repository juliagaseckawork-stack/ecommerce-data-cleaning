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0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2PEPF000003BB\EXCELCNV\3c7e4378-2ffd-4090-a7ce-b4e2dc320eda\"/>
    </mc:Choice>
  </mc:AlternateContent>
  <xr:revisionPtr revIDLastSave="0" documentId="8_{74EB5825-C928-42CD-9959-420686BFC193}" xr6:coauthVersionLast="47" xr6:coauthVersionMax="47" xr10:uidLastSave="{00000000-0000-0000-0000-000000000000}"/>
  <bookViews>
    <workbookView xWindow="-60" yWindow="-60" windowWidth="15480" windowHeight="11640" firstSheet="2" activeTab="2" xr2:uid="{0221B0BB-B7EC-4A33-893E-8473DE2DDAB9}"/>
  </bookViews>
  <sheets>
    <sheet name="01_Data_Mart_Raw" sheetId="1" r:id="rId1"/>
    <sheet name="02_Operational_Analysis" sheetId="4" r:id="rId2"/>
    <sheet name="03_Executive_Dashboard" sheetId="5" r:id="rId3"/>
    <sheet name="PivotData" sheetId="7" r:id="rId4"/>
  </sheets>
  <definedNames>
    <definedName name="Dropship_Cost_Per_Unit">#REF!</definedName>
    <definedName name="Sim_Cost_Inflation">#REF!</definedName>
    <definedName name="Sim_Fix_Negative">#REF!</definedName>
    <definedName name="Target_Margin_Pct">#REF!</definedName>
  </definedNames>
  <calcPr calcId="191028"/>
  <pivotCaches>
    <pivotCache cacheId="651" r:id="rId5"/>
    <pivotCache cacheId="652" r:id="rId6"/>
    <pivotCache cacheId="653" r:id="rId7"/>
    <pivotCache cacheId="654" r:id="rId8"/>
    <pivotCache cacheId="65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5" l="1" a="1"/>
  <c r="I34" i="5"/>
  <c r="D507" i="1"/>
  <c r="M36" i="5" a="1"/>
  <c r="M36" i="5"/>
  <c r="M40" i="5" a="1"/>
  <c r="M40" i="5"/>
  <c r="M39" i="5" a="1"/>
  <c r="M39" i="5"/>
  <c r="M38" i="5" a="1"/>
  <c r="M38" i="5"/>
  <c r="M37" i="5" a="1"/>
  <c r="M37" i="5"/>
  <c r="M35" i="5" a="1"/>
  <c r="M35" i="5"/>
  <c r="K38" i="5"/>
  <c r="K40" i="5" a="1"/>
  <c r="K40" i="5"/>
  <c r="K39" i="5" a="1"/>
  <c r="K39" i="5"/>
  <c r="K37" i="5"/>
  <c r="K36" i="5"/>
  <c r="K35" i="5"/>
  <c r="I40" i="5" a="1"/>
  <c r="I40" i="5"/>
  <c r="I39" i="5" a="1"/>
  <c r="I39" i="5"/>
  <c r="I38" i="5" a="1"/>
  <c r="I38" i="5"/>
  <c r="I37" i="5" a="1"/>
  <c r="I37" i="5"/>
  <c r="I36" i="5" a="1"/>
  <c r="I36" i="5"/>
  <c r="I35" i="5" a="1"/>
  <c r="I35" i="5"/>
  <c r="G40" i="5" a="1"/>
  <c r="G40" i="5"/>
  <c r="G39" i="5" a="1"/>
  <c r="G39" i="5"/>
  <c r="G38" i="5"/>
  <c r="G36" i="5"/>
  <c r="G37" i="5"/>
  <c r="G35" i="5"/>
  <c r="F39" i="5" a="1"/>
  <c r="F39" i="5"/>
  <c r="F40" i="5" a="1"/>
  <c r="F40" i="5"/>
  <c r="E60" i="4"/>
  <c r="F38" i="5"/>
  <c r="F37" i="5"/>
  <c r="F36" i="5"/>
  <c r="F35" i="5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H18" i="4"/>
  <c r="H19" i="4"/>
  <c r="H20" i="4"/>
  <c r="H21" i="4"/>
  <c r="H22" i="4"/>
  <c r="H23" i="4"/>
  <c r="H24" i="4"/>
  <c r="H25" i="4"/>
  <c r="H26" i="4"/>
  <c r="H27" i="4"/>
  <c r="G24" i="4" a="1"/>
  <c r="G24" i="4"/>
  <c r="H66" i="4" a="1"/>
  <c r="H66" i="4"/>
  <c r="H67" i="4" a="1"/>
  <c r="H67" i="4"/>
  <c r="E66" i="4" a="1"/>
  <c r="E66" i="4"/>
  <c r="E67" i="4" a="1"/>
  <c r="E67" i="4"/>
  <c r="F60" i="4" a="1"/>
  <c r="F60" i="4"/>
  <c r="D66" i="4" a="1"/>
  <c r="D66" i="4"/>
  <c r="D67" i="4" a="1"/>
  <c r="D67" i="4"/>
  <c r="F67" i="4" s="1"/>
  <c r="C66" i="4" a="1"/>
  <c r="C66" i="4"/>
  <c r="C67" i="4" a="1"/>
  <c r="C67" i="4"/>
  <c r="D52" i="4"/>
  <c r="D46" i="4"/>
  <c r="E55" i="4"/>
  <c r="E54" i="4"/>
  <c r="E53" i="4"/>
  <c r="E52" i="4"/>
  <c r="E51" i="4"/>
  <c r="E50" i="4"/>
  <c r="E49" i="4"/>
  <c r="E48" i="4"/>
  <c r="E47" i="4"/>
  <c r="E46" i="4"/>
  <c r="F46" i="4"/>
  <c r="D47" i="4"/>
  <c r="F47" i="4" s="1"/>
  <c r="D48" i="4"/>
  <c r="F48" i="4" s="1"/>
  <c r="D49" i="4"/>
  <c r="F49" i="4" s="1"/>
  <c r="D50" i="4"/>
  <c r="F50" i="4" s="1"/>
  <c r="D51" i="4"/>
  <c r="F51" i="4" s="1"/>
  <c r="F52" i="4"/>
  <c r="D53" i="4"/>
  <c r="F53" i="4" s="1"/>
  <c r="D54" i="4"/>
  <c r="F54" i="4" s="1"/>
  <c r="D55" i="4"/>
  <c r="F55" i="4" s="1"/>
  <c r="C46" i="4"/>
  <c r="C47" i="4"/>
  <c r="C48" i="4"/>
  <c r="C49" i="4"/>
  <c r="C50" i="4"/>
  <c r="C51" i="4"/>
  <c r="C52" i="4"/>
  <c r="C53" i="4"/>
  <c r="C54" i="4"/>
  <c r="C55" i="4"/>
  <c r="D32" i="4"/>
  <c r="D33" i="4"/>
  <c r="D34" i="4"/>
  <c r="D35" i="4"/>
  <c r="D36" i="4"/>
  <c r="D37" i="4"/>
  <c r="D38" i="4"/>
  <c r="D39" i="4"/>
  <c r="D40" i="4"/>
  <c r="D41" i="4"/>
  <c r="C32" i="4"/>
  <c r="E32" i="4" s="1"/>
  <c r="F32" i="4" s="1"/>
  <c r="C33" i="4"/>
  <c r="E33" i="4" s="1"/>
  <c r="F33" i="4" s="1"/>
  <c r="C34" i="4"/>
  <c r="E34" i="4" s="1"/>
  <c r="F34" i="4" s="1"/>
  <c r="C35" i="4"/>
  <c r="E35" i="4" s="1"/>
  <c r="F35" i="4" s="1"/>
  <c r="C36" i="4"/>
  <c r="E36" i="4" s="1"/>
  <c r="F36" i="4" s="1"/>
  <c r="C37" i="4"/>
  <c r="E37" i="4" s="1"/>
  <c r="F37" i="4" s="1"/>
  <c r="C38" i="4"/>
  <c r="E38" i="4" s="1"/>
  <c r="F38" i="4" s="1"/>
  <c r="C39" i="4"/>
  <c r="E39" i="4" s="1"/>
  <c r="F39" i="4" s="1"/>
  <c r="C40" i="4"/>
  <c r="E40" i="4" s="1"/>
  <c r="F40" i="4" s="1"/>
  <c r="C41" i="4"/>
  <c r="E41" i="4" s="1"/>
  <c r="F41" i="4" s="1"/>
  <c r="E13" i="4" a="1"/>
  <c r="E13" i="4"/>
  <c r="G18" i="4" a="1"/>
  <c r="G18" i="4"/>
  <c r="G19" i="4" a="1"/>
  <c r="G19" i="4"/>
  <c r="G20" i="4" a="1"/>
  <c r="G20" i="4"/>
  <c r="G21" i="4" a="1"/>
  <c r="G21" i="4"/>
  <c r="G22" i="4" a="1"/>
  <c r="G22" i="4"/>
  <c r="G23" i="4" a="1"/>
  <c r="G23" i="4"/>
  <c r="G25" i="4" a="1"/>
  <c r="G25" i="4"/>
  <c r="G26" i="4" a="1"/>
  <c r="G26" i="4"/>
  <c r="G27" i="4" a="1"/>
  <c r="G27" i="4"/>
  <c r="D18" i="4" a="1"/>
  <c r="D18" i="4"/>
  <c r="F18" i="4" s="1" a="1"/>
  <c r="F18" i="4" s="1"/>
  <c r="D19" i="4" a="1"/>
  <c r="D19" i="4"/>
  <c r="F19" i="4" s="1" a="1"/>
  <c r="F19" i="4" s="1"/>
  <c r="D20" i="4" a="1"/>
  <c r="D20" i="4"/>
  <c r="F20" i="4" s="1" a="1"/>
  <c r="F20" i="4" s="1"/>
  <c r="D21" i="4" a="1"/>
  <c r="D21" i="4"/>
  <c r="F21" i="4" s="1" a="1"/>
  <c r="F21" i="4" s="1"/>
  <c r="D22" i="4" a="1"/>
  <c r="D22" i="4"/>
  <c r="F22" i="4" s="1" a="1"/>
  <c r="F22" i="4" s="1"/>
  <c r="D23" i="4" a="1"/>
  <c r="D23" i="4"/>
  <c r="F23" i="4" s="1" a="1"/>
  <c r="F23" i="4" s="1"/>
  <c r="D24" i="4" a="1"/>
  <c r="D24" i="4"/>
  <c r="F24" i="4" s="1" a="1"/>
  <c r="F24" i="4" s="1"/>
  <c r="D25" i="4" a="1"/>
  <c r="D25" i="4"/>
  <c r="F25" i="4" s="1" a="1"/>
  <c r="F25" i="4" s="1"/>
  <c r="D26" i="4" a="1"/>
  <c r="D26" i="4"/>
  <c r="F26" i="4" s="1" a="1"/>
  <c r="F26" i="4" s="1"/>
  <c r="D27" i="4" a="1"/>
  <c r="D27" i="4"/>
  <c r="F27" i="4" s="1" a="1"/>
  <c r="F27" i="4" s="1"/>
  <c r="C18" i="4"/>
  <c r="C19" i="4"/>
  <c r="C20" i="4"/>
  <c r="C21" i="4"/>
  <c r="C22" i="4"/>
  <c r="C23" i="4"/>
  <c r="C24" i="4"/>
  <c r="C25" i="4"/>
  <c r="C26" i="4"/>
  <c r="C27" i="4"/>
  <c r="F4" i="4" a="1"/>
  <c r="F4" i="4"/>
  <c r="F5" i="4" a="1"/>
  <c r="F5" i="4"/>
  <c r="F6" i="4" a="1"/>
  <c r="F6" i="4"/>
  <c r="E4" i="4" a="1"/>
  <c r="E4" i="4"/>
  <c r="E5" i="4" a="1"/>
  <c r="E5" i="4"/>
  <c r="E6" i="4" a="1"/>
  <c r="E6" i="4"/>
  <c r="D4" i="4"/>
  <c r="D5" i="4"/>
  <c r="D6" i="4"/>
  <c r="C5" i="4"/>
  <c r="C13" i="4"/>
  <c r="F61" i="4" a="1"/>
  <c r="F61" i="4"/>
  <c r="F62" i="4" s="1"/>
  <c r="E61" i="4"/>
  <c r="E62" i="4"/>
  <c r="D60" i="4"/>
  <c r="G72" i="4" a="1"/>
  <c r="G72" i="4"/>
  <c r="G73" i="4" a="1"/>
  <c r="G73" i="4"/>
  <c r="E72" i="4" a="1"/>
  <c r="E72" i="4"/>
  <c r="E73" i="4" a="1"/>
  <c r="E73" i="4"/>
  <c r="E11" i="4" a="1"/>
  <c r="E11" i="4"/>
  <c r="G74" i="4"/>
  <c r="G3" i="5" s="1"/>
  <c r="D72" i="4"/>
  <c r="F72" i="4"/>
  <c r="F73" i="4"/>
  <c r="D73" i="4"/>
  <c r="C72" i="4"/>
  <c r="C73" i="4"/>
  <c r="A507" i="1"/>
  <c r="D61" i="4"/>
  <c r="C60" i="4"/>
  <c r="C61" i="4"/>
  <c r="D11" i="4"/>
  <c r="D12" i="4"/>
  <c r="D13" i="4"/>
  <c r="E12" i="4" a="1"/>
  <c r="E12" i="4"/>
  <c r="F11" i="4"/>
  <c r="F12" i="4"/>
  <c r="F13" i="4"/>
  <c r="C11" i="4"/>
  <c r="C12" i="4"/>
  <c r="F7" i="4"/>
  <c r="C4" i="4"/>
  <c r="C6" i="4"/>
  <c r="M34" i="5" l="1" a="1"/>
  <c r="M34" i="5" s="1"/>
  <c r="G29" i="7" s="1"/>
  <c r="K34" i="5"/>
  <c r="G28" i="7" s="1"/>
  <c r="G27" i="7"/>
  <c r="G34" i="5"/>
  <c r="F34" i="5"/>
  <c r="G67" i="4"/>
  <c r="M41" i="5" a="1"/>
  <c r="M41" i="5" s="1"/>
  <c r="K41" i="5"/>
  <c r="I41" i="5" a="1"/>
  <c r="I41" i="5" s="1"/>
  <c r="C68" i="4"/>
  <c r="F66" i="4"/>
  <c r="F68" i="4" s="1"/>
  <c r="D68" i="4"/>
  <c r="E68" i="4"/>
  <c r="G68" i="4" s="1"/>
  <c r="Q4" i="5" s="1"/>
  <c r="G66" i="4"/>
  <c r="H68" i="4"/>
  <c r="V3" i="5" s="1"/>
  <c r="C62" i="4"/>
  <c r="E14" i="4"/>
  <c r="B3" i="5" s="1"/>
  <c r="G28" i="4"/>
  <c r="D28" i="4"/>
  <c r="C28" i="4"/>
  <c r="D7" i="4"/>
  <c r="H6" i="4"/>
  <c r="G6" i="4"/>
  <c r="G5" i="4"/>
  <c r="H5" i="4" s="1"/>
  <c r="G4" i="4"/>
  <c r="C74" i="4"/>
  <c r="F74" i="4"/>
  <c r="G4" i="5" s="1"/>
  <c r="D74" i="4"/>
  <c r="E74" i="4"/>
  <c r="C7" i="4"/>
  <c r="C14" i="4"/>
  <c r="F14" i="4"/>
  <c r="D14" i="4"/>
  <c r="B4" i="5" s="1"/>
  <c r="E7" i="4"/>
  <c r="I43" i="5" l="1"/>
  <c r="F27" i="7"/>
  <c r="K43" i="5"/>
  <c r="F28" i="7"/>
  <c r="M43" i="5"/>
  <c r="F29" i="7"/>
  <c r="F41" i="5"/>
  <c r="G25" i="7"/>
  <c r="G41" i="5"/>
  <c r="G26" i="7"/>
  <c r="Q3" i="5"/>
  <c r="E27" i="4"/>
  <c r="E26" i="4"/>
  <c r="E25" i="4"/>
  <c r="E24" i="4"/>
  <c r="E23" i="4"/>
  <c r="E22" i="4"/>
  <c r="E21" i="4"/>
  <c r="E20" i="4"/>
  <c r="E19" i="4"/>
  <c r="E18" i="4"/>
  <c r="G7" i="4"/>
  <c r="L3" i="5" s="1"/>
  <c r="H4" i="4"/>
  <c r="F26" i="7" l="1"/>
  <c r="G43" i="5"/>
  <c r="F25" i="7"/>
  <c r="F43" i="5"/>
  <c r="H7" i="4"/>
  <c r="L4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<sst xmlns="http://schemas.openxmlformats.org/spreadsheetml/2006/main" count="3735" uniqueCount="1121">
  <si>
    <t>consolidated_sku</t>
  </si>
  <si>
    <t>product_name</t>
  </si>
  <si>
    <t>category</t>
  </si>
  <si>
    <t>catalog_integration_status</t>
  </si>
  <si>
    <t>retail_price</t>
  </si>
  <si>
    <t>current_supplier_cost</t>
  </si>
  <si>
    <t>current_unit_margin_amount</t>
  </si>
  <si>
    <t>current_margin_percentage</t>
  </si>
  <si>
    <t>margin_health_status</t>
  </si>
  <si>
    <t>internal_stock</t>
  </si>
  <si>
    <t>reorder_point</t>
  </si>
  <si>
    <t>supplier_stock</t>
  </si>
  <si>
    <t>total_system_availability</t>
  </si>
  <si>
    <t>stock_health_status</t>
  </si>
  <si>
    <t>recommended_fulfillment_route</t>
  </si>
  <si>
    <t>duplicate_name</t>
  </si>
  <si>
    <t>SKU-9991</t>
  </si>
  <si>
    <t>SUPPLIER ONLY</t>
  </si>
  <si>
    <t>N/A Missing price data</t>
  </si>
  <si>
    <t>CRITICAL Internal stockout - reorder available from Supplier</t>
  </si>
  <si>
    <t>Fulfill via dropship</t>
  </si>
  <si>
    <t>SKU-9992</t>
  </si>
  <si>
    <t>SKU-9993</t>
  </si>
  <si>
    <t>SKU-9994</t>
  </si>
  <si>
    <t>SKU-9995</t>
  </si>
  <si>
    <t>SKU-1001</t>
  </si>
  <si>
    <t>Harry Potter Complete Box Set 2024 Edition</t>
  </si>
  <si>
    <t>Books</t>
  </si>
  <si>
    <t>MATCHED</t>
  </si>
  <si>
    <t>MARGIN OK</t>
  </si>
  <si>
    <t>HEALTHY AVAILABILITY Internal available stock</t>
  </si>
  <si>
    <t>Fulfill in-house</t>
  </si>
  <si>
    <t>SKU-1002</t>
  </si>
  <si>
    <t>Samsung Galaxy S24 - Coral</t>
  </si>
  <si>
    <t>Electronics</t>
  </si>
  <si>
    <t>SKU-1003</t>
  </si>
  <si>
    <t>Sony WH-1000XM5 Headphones Large</t>
  </si>
  <si>
    <t>SKU-1004</t>
  </si>
  <si>
    <t>Nerf Elite Disruptor Blaster Premium - Coral</t>
  </si>
  <si>
    <t>Toys</t>
  </si>
  <si>
    <t>SKU-1005</t>
  </si>
  <si>
    <t>Keychron K2 Mechanical Keyboard X-Large - Ivory</t>
  </si>
  <si>
    <t>SKU-1006</t>
  </si>
  <si>
    <t>Dell UltraSharp 27 Monitor Performance</t>
  </si>
  <si>
    <t>SKU-1007</t>
  </si>
  <si>
    <t>Melissa &amp; Doug Wooden Train Set - Navy</t>
  </si>
  <si>
    <t>SKU-1008</t>
  </si>
  <si>
    <t>Garmin Forerunner 265 Smartwatch Set of 2</t>
  </si>
  <si>
    <t>SKU-1009</t>
  </si>
  <si>
    <t>Anker 65W USB-C Charger Premium - Cream</t>
  </si>
  <si>
    <t>SKU-1010</t>
  </si>
  <si>
    <t>Canon EOS R50 Camera 2L - Lavender</t>
  </si>
  <si>
    <t>SKU-1011</t>
  </si>
  <si>
    <t>JBL Flip 6 Bluetooth Speaker Studio</t>
  </si>
  <si>
    <t>SKU-1012</t>
  </si>
  <si>
    <t>Canon EOS R50 Camera - Olive</t>
  </si>
  <si>
    <t>SKU-1013</t>
  </si>
  <si>
    <t>The Great Gatsby - Paperback Pack of 5</t>
  </si>
  <si>
    <t>SKU-1014</t>
  </si>
  <si>
    <t>Amazon Echo Dot 5th Gen Standard - Ivory</t>
  </si>
  <si>
    <t>SKU-1015</t>
  </si>
  <si>
    <t>Google Nest Hub 2nd Gen Pack of 5 - Lavender</t>
  </si>
  <si>
    <t>SKU-1016</t>
  </si>
  <si>
    <t>Artificial Monstera Plant Essential</t>
  </si>
  <si>
    <t>Home</t>
  </si>
  <si>
    <t>SKU-1017</t>
  </si>
  <si>
    <t>Arduino Uno R4 WiFi - Teal</t>
  </si>
  <si>
    <t>SKU-1018</t>
  </si>
  <si>
    <t>Logitech C920 HD Webcam 750ml</t>
  </si>
  <si>
    <t>SKU-1019</t>
  </si>
  <si>
    <t>Baby Einstein Activity Gym Ultra - Gray</t>
  </si>
  <si>
    <t>SKU-1020</t>
  </si>
  <si>
    <t>Philips Hue White Bulb Pack of 5 - White</t>
  </si>
  <si>
    <t>WARNING Below reorder point - reorder available from Supplier</t>
  </si>
  <si>
    <t>SKU-1021</t>
  </si>
  <si>
    <t>Fitbit Charge 6 Digital</t>
  </si>
  <si>
    <t>SKU-1022</t>
  </si>
  <si>
    <t>Cotton Crew Neck T-Shirt - Graphite</t>
  </si>
  <si>
    <t>Clothing</t>
  </si>
  <si>
    <t>SKU-1023</t>
  </si>
  <si>
    <t>Nintendo Switch OLED Small</t>
  </si>
  <si>
    <t>SKU-1024</t>
  </si>
  <si>
    <t>Steam Deck OLED 512GB Analog - Ivory</t>
  </si>
  <si>
    <t>SKU-1025</t>
  </si>
  <si>
    <t>Giro Bicycle Helmet 400g - Slate</t>
  </si>
  <si>
    <t>Sports</t>
  </si>
  <si>
    <t>SKU-1026</t>
  </si>
  <si>
    <t>Cotton Crew Neck T-Shirt 2024 Edition</t>
  </si>
  <si>
    <t>SKU-1027</t>
  </si>
  <si>
    <t>Slim Fit Denim Jeans - Blue</t>
  </si>
  <si>
    <t>SKU-1028</t>
  </si>
  <si>
    <t>Google Nest Hub 2nd Gen 500ml</t>
  </si>
  <si>
    <t>SKU-1029</t>
  </si>
  <si>
    <t>Floral Summer Dress Plus - Beige</t>
  </si>
  <si>
    <t>SKU-1030</t>
  </si>
  <si>
    <t>Merino Wool Sweater 2L - Navy</t>
  </si>
  <si>
    <t>SKU-1031</t>
  </si>
  <si>
    <t>Aromatherapy Diffuser Home</t>
  </si>
  <si>
    <t>SKU-1032</t>
  </si>
  <si>
    <t>Cotton Athletic Socks 6-Pack - Teal</t>
  </si>
  <si>
    <t>SKU-1033</t>
  </si>
  <si>
    <t>Wool Beanie Hat One Size</t>
  </si>
  <si>
    <t>SKU-1034</t>
  </si>
  <si>
    <t>Weighted Blanket 7kg Studio - Red</t>
  </si>
  <si>
    <t>SKU-1035</t>
  </si>
  <si>
    <t>Genuine Leather Belt 400g - Cream</t>
  </si>
  <si>
    <t>SKU-1036</t>
  </si>
  <si>
    <t>Linen Button-Up Shirt Home</t>
  </si>
  <si>
    <t>SKU-1037</t>
  </si>
  <si>
    <t>Silk Blouse - White</t>
  </si>
  <si>
    <t>SKU-1038</t>
  </si>
  <si>
    <t>Running Sneakers Large</t>
  </si>
  <si>
    <t>SKU-1039</t>
  </si>
  <si>
    <t>Puffer Vest Comfort - Graphite</t>
  </si>
  <si>
    <t>SKU-1040</t>
  </si>
  <si>
    <t>Arduino Uno R4 WiFi Set of 2 - Charcoal</t>
  </si>
  <si>
    <t>SKU-1041</t>
  </si>
  <si>
    <t>Cargo Pants Classic</t>
  </si>
  <si>
    <t>SKU-1042</t>
  </si>
  <si>
    <t>Hooded Sweatshirt - Taupe</t>
  </si>
  <si>
    <t>SKU-1043</t>
  </si>
  <si>
    <t>Citrus Juicer Manual Small</t>
  </si>
  <si>
    <t>Kitchen</t>
  </si>
  <si>
    <t>SKU-1044</t>
  </si>
  <si>
    <t>Blazer Jacket Elite - Ivory</t>
  </si>
  <si>
    <t>SKU-1045</t>
  </si>
  <si>
    <t>Thermal Base Layer Top 200g - Burgundy</t>
  </si>
  <si>
    <t>CRITICAL Negative margin</t>
  </si>
  <si>
    <t>SKU-1046</t>
  </si>
  <si>
    <t>Swim Trunks Standard</t>
  </si>
  <si>
    <t>SKU-1047</t>
  </si>
  <si>
    <t>Ballet Flats - Slate</t>
  </si>
  <si>
    <t>SKU-1048</t>
  </si>
  <si>
    <t>Denim Jacket Set of 4</t>
  </si>
  <si>
    <t>SKU-1049</t>
  </si>
  <si>
    <t>Electric Kettle 1.7L Home - Taupe</t>
  </si>
  <si>
    <t>SKU-1050</t>
  </si>
  <si>
    <t>Polo Shirt Set of 4 - Cream</t>
  </si>
  <si>
    <t>SKU-1051</t>
  </si>
  <si>
    <t>Memory Foam Pillow Advanced</t>
  </si>
  <si>
    <t>SKU-1052</t>
  </si>
  <si>
    <t>Barbie Fashionistas Doll - Burgundy</t>
  </si>
  <si>
    <t>SKU-1053</t>
  </si>
  <si>
    <t>Modern Table Lamp Pack of 5</t>
  </si>
  <si>
    <t>Unknown</t>
  </si>
  <si>
    <t>SKU-1054</t>
  </si>
  <si>
    <t>Persian Style Area Rug Performance - Blue</t>
  </si>
  <si>
    <t>SKU-1055</t>
  </si>
  <si>
    <t>National Geographic Science Kit 200g - Rose</t>
  </si>
  <si>
    <t>SKU-1056</t>
  </si>
  <si>
    <t>Ceramic Decorative Vase Lite</t>
  </si>
  <si>
    <t>SKU-1057</t>
  </si>
  <si>
    <t>Minimalist Wall Clock - Black</t>
  </si>
  <si>
    <t>SKU-1058</t>
  </si>
  <si>
    <t>Baby Einstein Activity Gym 400g</t>
  </si>
  <si>
    <t>SKU-1059</t>
  </si>
  <si>
    <t>Scented Soy Candle Studio - Blue</t>
  </si>
  <si>
    <t>SKU-1060</t>
  </si>
  <si>
    <t>Bamboo Drawer Organizer Set of 6 - Navy</t>
  </si>
  <si>
    <t>SKU-1061</t>
  </si>
  <si>
    <t>Stainless Steel Stock Pot Compact</t>
  </si>
  <si>
    <t>SKU-1062</t>
  </si>
  <si>
    <t>Velvet Cushion Cover - Red</t>
  </si>
  <si>
    <t>SKU-1063</t>
  </si>
  <si>
    <t>Woven Laundry Basket Large</t>
  </si>
  <si>
    <t>SKU-1064</t>
  </si>
  <si>
    <t>Ninja Professional Blender Classic - Rose</t>
  </si>
  <si>
    <t>SKU-1065</t>
  </si>
  <si>
    <t>Glass Photo Frame 20x25 Set of 2 - Gray</t>
  </si>
  <si>
    <t>SKU-1066</t>
  </si>
  <si>
    <t>Artificial Monstera Plant Signature</t>
  </si>
  <si>
    <t>SKU-1067</t>
  </si>
  <si>
    <t>Cycling Jersey - Ivory</t>
  </si>
  <si>
    <t>SKU-1068</t>
  </si>
  <si>
    <t>LED Strip Lights 5m Set of 4</t>
  </si>
  <si>
    <t>SKU-1069</t>
  </si>
  <si>
    <t>Shoe Storage Cabinet Digital - Rose</t>
  </si>
  <si>
    <t>SKU-1070</t>
  </si>
  <si>
    <t>Woven Laundry Basket X-Large - White</t>
  </si>
  <si>
    <t>SKU-1071</t>
  </si>
  <si>
    <t>Kitchen Wall Shelf Plus</t>
  </si>
  <si>
    <t>SKU-1072</t>
  </si>
  <si>
    <t>Decorative Throw Pillow - Burgundy</t>
  </si>
  <si>
    <t>SKU-1073</t>
  </si>
  <si>
    <t>Funko Pop! Vinyl Figure 28cm</t>
  </si>
  <si>
    <t>SKU-1074</t>
  </si>
  <si>
    <t>Aromatherapy Diffuser Standard - Gray</t>
  </si>
  <si>
    <t>SKU-1075</t>
  </si>
  <si>
    <t>Underbed Storage Box X-Large - Burgundy</t>
  </si>
  <si>
    <t>SKU-1076</t>
  </si>
  <si>
    <t>Ninja Professional Blender Classic</t>
  </si>
  <si>
    <t>SKU-1077</t>
  </si>
  <si>
    <t>Stainless Steel Stock Pot - Rose</t>
  </si>
  <si>
    <t>SKU-1078</t>
  </si>
  <si>
    <t>Damascus Knife Set 3pcs 30cm</t>
  </si>
  <si>
    <t>SKU-1079</t>
  </si>
  <si>
    <t>Merino Wool Sweater Essential - Gray</t>
  </si>
  <si>
    <t>SKU-1080</t>
  </si>
  <si>
    <t>Ninja Professional Blender 2L - Rose</t>
  </si>
  <si>
    <t>SKU-1081</t>
  </si>
  <si>
    <t>Retro 2-Slice Toaster Standard</t>
  </si>
  <si>
    <t>SKU-1082</t>
  </si>
  <si>
    <t>Gym Duffel Bag 40L - Rose</t>
  </si>
  <si>
    <t>SKU-1083</t>
  </si>
  <si>
    <t>Porcelain Dinner Plate Set Pack of 5</t>
  </si>
  <si>
    <t>SKU-1084</t>
  </si>
  <si>
    <t>Ceramic Coffee Mug 400ml Advanced - Rose</t>
  </si>
  <si>
    <t>SKU-1085</t>
  </si>
  <si>
    <t>Samsung 1TB Portable SSD Medium - Ivory</t>
  </si>
  <si>
    <t>SKU-1086</t>
  </si>
  <si>
    <t>Cast Iron Dutch Oven Essential</t>
  </si>
  <si>
    <t>SKU-1087</t>
  </si>
  <si>
    <t>Glass Food Storage Set - Black</t>
  </si>
  <si>
    <t>SKU-1088</t>
  </si>
  <si>
    <t>Baby Einstein Activity Gym 200g</t>
  </si>
  <si>
    <t>SKU-1089</t>
  </si>
  <si>
    <t>Pasta Maker Machine 2024 Edition - Blue</t>
  </si>
  <si>
    <t>SKU-1090</t>
  </si>
  <si>
    <t>Espresso Cups Set of 4 500ml - Lavender</t>
  </si>
  <si>
    <t>SKU-1091</t>
  </si>
  <si>
    <t>Arduino Uno R4 WiFi Essential</t>
  </si>
  <si>
    <t>SKU-1092</t>
  </si>
  <si>
    <t>Meat Thermometer Digital - Coral</t>
  </si>
  <si>
    <t>SKU-1093</t>
  </si>
  <si>
    <t>Kitchen Scale Digital 400g</t>
  </si>
  <si>
    <t>SKU-1094</t>
  </si>
  <si>
    <t>The Great Gatsby - Paperback Advanced - Coral</t>
  </si>
  <si>
    <t>SKU-1095</t>
  </si>
  <si>
    <t>Rice Cooker 1.8L X-Large - Red</t>
  </si>
  <si>
    <t>SKU-1096</t>
  </si>
  <si>
    <t>Pepper Mill Wooden Analog</t>
  </si>
  <si>
    <t>SKU-1097</t>
  </si>
  <si>
    <t>Wool Beanie Hat - Taupe</t>
  </si>
  <si>
    <t>SKU-1098</t>
  </si>
  <si>
    <t>Colander Stainless Steel 2L</t>
  </si>
  <si>
    <t>SKU-1099</t>
  </si>
  <si>
    <t>Citrus Juicer Manual Mini - Coral</t>
  </si>
  <si>
    <t>SKU-1100</t>
  </si>
  <si>
    <t>Weighted Hula Hoop 30cm - Slate</t>
  </si>
  <si>
    <t>SKU-1101</t>
  </si>
  <si>
    <t>Premium Yoga Mat 6mm Max</t>
  </si>
  <si>
    <t>SKU-1102</t>
  </si>
  <si>
    <t>Adjustable Dumbbell 20kg - Blue</t>
  </si>
  <si>
    <t>SKU-1103</t>
  </si>
  <si>
    <t>The Da Vinci Code 2L</t>
  </si>
  <si>
    <t>SKU-1104</t>
  </si>
  <si>
    <t>Insulated Water Bottle 750ml Smart - Rose</t>
  </si>
  <si>
    <t>SKU-1105</t>
  </si>
  <si>
    <t>Resistance Bands Set 32cm - Blue</t>
  </si>
  <si>
    <t>SKU-1106</t>
  </si>
  <si>
    <t>Crayola Ultimate Art Set Studio</t>
  </si>
  <si>
    <t>SKU-1107</t>
  </si>
  <si>
    <t>Adidas FIFA Football - Teal</t>
  </si>
  <si>
    <t>SKU-1108</t>
  </si>
  <si>
    <t>Gym Duffel Bag 40L 400g</t>
  </si>
  <si>
    <t>SKU-1109</t>
  </si>
  <si>
    <t>Pride and Prejudice Max - Navy</t>
  </si>
  <si>
    <t>SKU-1110</t>
  </si>
  <si>
    <t>Speed Jump Rope Set of 6 - Green</t>
  </si>
  <si>
    <t>SKU-1111</t>
  </si>
  <si>
    <t>Foam Roller 2024 Edition</t>
  </si>
  <si>
    <t>SKU-1112</t>
  </si>
  <si>
    <t>Kitchen Wall Shelf - Taupe</t>
  </si>
  <si>
    <t>SKU-1113</t>
  </si>
  <si>
    <t>Swim Goggles Anti-Fog 750ml</t>
  </si>
  <si>
    <t>SKU-1114</t>
  </si>
  <si>
    <t>Cycling Jersey Pro - Charcoal</t>
  </si>
  <si>
    <t>SKU-1115</t>
  </si>
  <si>
    <t>Velvet Cushion Cover X-Large - Coral</t>
  </si>
  <si>
    <t>SKU-1116</t>
  </si>
  <si>
    <t>Boxing Gloves 12oz Compact</t>
  </si>
  <si>
    <t>SKU-1117</t>
  </si>
  <si>
    <t>Pull-Up Bar Doorway - Lavender</t>
  </si>
  <si>
    <t>SKU-1118</t>
  </si>
  <si>
    <t>LEGO Star Wars X-Wing 28cm</t>
  </si>
  <si>
    <t>SKU-1119</t>
  </si>
  <si>
    <t>Soccer Shin Guards Smart - Red</t>
  </si>
  <si>
    <t>SKU-1120</t>
  </si>
  <si>
    <t>Trekking Poles Pair 200g - Red</t>
  </si>
  <si>
    <t>SKU-1121</t>
  </si>
  <si>
    <t>Tatcha Dewy Skin Cream Travel</t>
  </si>
  <si>
    <t>Beauty</t>
  </si>
  <si>
    <t>SKU-1122</t>
  </si>
  <si>
    <t>Weighted Hula Hoop - Blue</t>
  </si>
  <si>
    <t>SKU-1123</t>
  </si>
  <si>
    <t>Sports Watch Digital 750ml</t>
  </si>
  <si>
    <t>SKU-1124</t>
  </si>
  <si>
    <t>Playmobil Pirate Ship Elite - Charcoal</t>
  </si>
  <si>
    <t>SKU-1125</t>
  </si>
  <si>
    <t>Golf Putter Small - Olive</t>
  </si>
  <si>
    <t>SKU-1126</t>
  </si>
  <si>
    <t>KÃ©rastase Shampoo 250ml Premium</t>
  </si>
  <si>
    <t>SKU-1127</t>
  </si>
  <si>
    <t>Espresso Cups Set of 4 - White</t>
  </si>
  <si>
    <t>SKU-1128</t>
  </si>
  <si>
    <t>La Roche-Posay Moisturizer 400g</t>
  </si>
  <si>
    <t>SKU-1129</t>
  </si>
  <si>
    <t>The Ordinary Niacinamide Serum Premium - Slate</t>
  </si>
  <si>
    <t>SKU-1130</t>
  </si>
  <si>
    <t>Garmin Forerunner 265 Smartwatch 500ml - Burgundy</t>
  </si>
  <si>
    <t>SKU-1131</t>
  </si>
  <si>
    <t>MAC Matte Lipstick Travel</t>
  </si>
  <si>
    <t>SKU-1132</t>
  </si>
  <si>
    <t>EstÃ©e Lauder Double Wear Foundation - Cream</t>
  </si>
  <si>
    <t>SKU-1133</t>
  </si>
  <si>
    <t>Keychron K2 Mechanical Keyboard Set of 4</t>
  </si>
  <si>
    <t>SKU-1134</t>
  </si>
  <si>
    <t>OPI Nail Polish Advanced - Cream</t>
  </si>
  <si>
    <t>SKU-1135</t>
  </si>
  <si>
    <t>Dyson Supersonic Hair Dryer 30cm - Burgundy</t>
  </si>
  <si>
    <t>SKU-1136</t>
  </si>
  <si>
    <t>Spalding NBA Basketball Eco</t>
  </si>
  <si>
    <t>SKU-1137</t>
  </si>
  <si>
    <t>CeraVe Hydrating Cleanser - Graphite</t>
  </si>
  <si>
    <t>SKU-1138</t>
  </si>
  <si>
    <t>Sunday Riley Good Genes Serum Set of 4</t>
  </si>
  <si>
    <t>SKU-1139</t>
  </si>
  <si>
    <t>Bamboo Drawer Organizer Essential - Slate</t>
  </si>
  <si>
    <t>SKU-1140</t>
  </si>
  <si>
    <t>NARS Radiant Creamy Concealer 200g - Lavender</t>
  </si>
  <si>
    <t>SKU-1141</t>
  </si>
  <si>
    <t>Olaplex No. 3 Treatment Analog</t>
  </si>
  <si>
    <t>SKU-1142</t>
  </si>
  <si>
    <t>Fisher-Price Rock-a-Stack - Black</t>
  </si>
  <si>
    <t>SKU-1143</t>
  </si>
  <si>
    <t>Charlotte Tilbury Pillow Talk Lipstick 28cm</t>
  </si>
  <si>
    <t>SKU-1144</t>
  </si>
  <si>
    <t>Drunk Elephant C-Firma Day Serum Ultra - White</t>
  </si>
  <si>
    <t>SKU-1145</t>
  </si>
  <si>
    <t>Bose QuietComfort Earbuds II Set of 6 - White</t>
  </si>
  <si>
    <t>SKU-1146</t>
  </si>
  <si>
    <t>Bioderma Micellar Water 500ml Analog</t>
  </si>
  <si>
    <t>SKU-1147</t>
  </si>
  <si>
    <t>Urban Decay Naked Eyeshadow Palette - Beige</t>
  </si>
  <si>
    <t>SKU-1148</t>
  </si>
  <si>
    <t>Cargo Pants Set of 2</t>
  </si>
  <si>
    <t>SKU-1149</t>
  </si>
  <si>
    <t>Laura Mercier Translucent Powder 2024 Edition - White</t>
  </si>
  <si>
    <t>SKU-1150</t>
  </si>
  <si>
    <t>Jo Malone London Candle 500ml - Gray</t>
  </si>
  <si>
    <t>SKU-1151</t>
  </si>
  <si>
    <t>Google Nest Hub 2nd Gen XL</t>
  </si>
  <si>
    <t>SKU-1152</t>
  </si>
  <si>
    <t>Salt, Fat, Acid, Heat - Cookbook - Graphite</t>
  </si>
  <si>
    <t>SKU-1153</t>
  </si>
  <si>
    <t>Introduction to Algorithms - Hardcover One Size</t>
  </si>
  <si>
    <t>SKU-1154</t>
  </si>
  <si>
    <t>Nintendo Switch OLED Advanced - Navy</t>
  </si>
  <si>
    <t>SKU-1155</t>
  </si>
  <si>
    <t>The Very Hungry Caterpillar Pack of 3 - Slate</t>
  </si>
  <si>
    <t>SKU-1156</t>
  </si>
  <si>
    <t>Leuchtturm1917 Bullet Journal Studio</t>
  </si>
  <si>
    <t>SKU-1157</t>
  </si>
  <si>
    <t>Schleich Horse Stable Playset - Graphite</t>
  </si>
  <si>
    <t>SKU-1158</t>
  </si>
  <si>
    <t>National Geographic Atlas 32cm</t>
  </si>
  <si>
    <t>SKU-1159</t>
  </si>
  <si>
    <t>Milk and Honey Poetry Collection Eco - Green</t>
  </si>
  <si>
    <t>SKU-1160</t>
  </si>
  <si>
    <t>Magna-Tiles 32-Piece Set Set of 6 - Red</t>
  </si>
  <si>
    <t>SKU-1161</t>
  </si>
  <si>
    <t>Sapiens: A Brief History of Humankind Plus</t>
  </si>
  <si>
    <t>SKU-1162</t>
  </si>
  <si>
    <t>Atomic Habits - Hardcover - Blue</t>
  </si>
  <si>
    <t>SKU-1163</t>
  </si>
  <si>
    <t>Harry Potter Complete Box Set Pack of 5</t>
  </si>
  <si>
    <t>SKU-1164</t>
  </si>
  <si>
    <t>Harry Potter Complete Box Set Home - Lavender</t>
  </si>
  <si>
    <t>SKU-1165</t>
  </si>
  <si>
    <t>Steve Jobs Biography 500ml - Ivory</t>
  </si>
  <si>
    <t>SKU-1166</t>
  </si>
  <si>
    <t>Citrus Juicer Manual Pro</t>
  </si>
  <si>
    <t>SKU-1167</t>
  </si>
  <si>
    <t>1984 - George Orwell - Lavender</t>
  </si>
  <si>
    <t>SKU-1168</t>
  </si>
  <si>
    <t>The Hobbit - Illustrated 1L</t>
  </si>
  <si>
    <t>SKU-1169</t>
  </si>
  <si>
    <t>Baby Einstein Activity Gym Digital - Gray</t>
  </si>
  <si>
    <t>SKU-1170</t>
  </si>
  <si>
    <t>The Da Vinci Code 28cm - Burgundy</t>
  </si>
  <si>
    <t>SKU-1171</t>
  </si>
  <si>
    <t>Thinking, Fast and Slow Mini</t>
  </si>
  <si>
    <t>SKU-1172</t>
  </si>
  <si>
    <t>Ceramic Coffee Mug 400ml - Slate</t>
  </si>
  <si>
    <t>SKU-1173</t>
  </si>
  <si>
    <t>Rich Dad Poor Dad 30cm</t>
  </si>
  <si>
    <t>SKU-1174</t>
  </si>
  <si>
    <t>The Four Agreements XL - Teal</t>
  </si>
  <si>
    <t>SKU-1175</t>
  </si>
  <si>
    <t>Woven Laundry Basket Small - Rose</t>
  </si>
  <si>
    <t>SKU-1176</t>
  </si>
  <si>
    <t>Ravensburger 1000pc Puzzle Classic</t>
  </si>
  <si>
    <t>SKU-1177</t>
  </si>
  <si>
    <t>Catan Board Game - White</t>
  </si>
  <si>
    <t>SKU-1178</t>
  </si>
  <si>
    <t>Citrus Juicer Manual Set of 4</t>
  </si>
  <si>
    <t>SKU-1179</t>
  </si>
  <si>
    <t>Marvel Legends Action Figure Plus - Olive</t>
  </si>
  <si>
    <t>SKU-1180</t>
  </si>
  <si>
    <t>LEGO Classic Creative Bricks Large - Gray</t>
  </si>
  <si>
    <t>SKU-1181</t>
  </si>
  <si>
    <t>Damascus Knife Set 3pcs Max</t>
  </si>
  <si>
    <t>SKU-1182</t>
  </si>
  <si>
    <t>Traxxas RC Monster Truck - Gray</t>
  </si>
  <si>
    <t>SKU-1183</t>
  </si>
  <si>
    <t>Crayola Ultimate Art Set 32cm</t>
  </si>
  <si>
    <t>SKU-1184</t>
  </si>
  <si>
    <t>Espresso Cups Set of 4 Plus - Navy</t>
  </si>
  <si>
    <t>SKU-1185</t>
  </si>
  <si>
    <t>Spalding NBA Basketball 32cm - Black</t>
  </si>
  <si>
    <t>SKU-1186</t>
  </si>
  <si>
    <t>Hot Wheels 20-Car Gift Pack Plus</t>
  </si>
  <si>
    <t>SKU-1187</t>
  </si>
  <si>
    <t>Golf Putter - Graphite</t>
  </si>
  <si>
    <t>SKU-1188</t>
  </si>
  <si>
    <t>Fisher-Price Rock-a-Stack 400g</t>
  </si>
  <si>
    <t>SKU-1189</t>
  </si>
  <si>
    <t>Nerf Elite Disruptor Blaster Smart - Green</t>
  </si>
  <si>
    <t>SKU-1190</t>
  </si>
  <si>
    <t>Catan Board Game One Size - Charcoal</t>
  </si>
  <si>
    <t>SKU-1191</t>
  </si>
  <si>
    <t>Monopoly Classic Board Game Lite</t>
  </si>
  <si>
    <t>SKU-1192</t>
  </si>
  <si>
    <t>Rubik's Cube 3x3 - Burgundy</t>
  </si>
  <si>
    <t>SKU-1193</t>
  </si>
  <si>
    <t>Magna-Tiles 32-Piece Set Large</t>
  </si>
  <si>
    <t>SKU-1194</t>
  </si>
  <si>
    <t>Funko Pop! Vinyl Figure Home - Rose</t>
  </si>
  <si>
    <t>SKU-1195</t>
  </si>
  <si>
    <t>Playmobil Pirate Ship 400g - Navy</t>
  </si>
  <si>
    <t>SKU-1196</t>
  </si>
  <si>
    <t>Glass Photo Frame 20x25 Performance</t>
  </si>
  <si>
    <t>SKU-1197</t>
  </si>
  <si>
    <t>Baby Einstein Activity Gym - Burgundy</t>
  </si>
  <si>
    <t>SKU-1198</t>
  </si>
  <si>
    <t>Magna-Tiles 32-Piece Set One Size</t>
  </si>
  <si>
    <t>SKU-1199</t>
  </si>
  <si>
    <t>Yoga Leggings Elite - Coral</t>
  </si>
  <si>
    <t>SKU-1200</t>
  </si>
  <si>
    <t>VTech Kidizoom Camera 500ml - Slate</t>
  </si>
  <si>
    <t>SKU-1201</t>
  </si>
  <si>
    <t>Apple iPhone 15 Elite</t>
  </si>
  <si>
    <t>SKU-1202</t>
  </si>
  <si>
    <t>Shoe Storage Cabinet - Taupe</t>
  </si>
  <si>
    <t>SKU-1203</t>
  </si>
  <si>
    <t>Sony WH-1000XM5 Headphones Pack of 3</t>
  </si>
  <si>
    <t>SKU-1204</t>
  </si>
  <si>
    <t>Logitech MX Master 3S Mouse Lite - White</t>
  </si>
  <si>
    <t>SKU-1205</t>
  </si>
  <si>
    <t>Garmin Forerunner 265 Smartwatch 400g - Navy</t>
  </si>
  <si>
    <t>SKU-1206</t>
  </si>
  <si>
    <t>Dell UltraSharp 27 Monitor Signature</t>
  </si>
  <si>
    <t>SKU-1207</t>
  </si>
  <si>
    <t>Apple iPad Air - Navy</t>
  </si>
  <si>
    <t>SKU-1208</t>
  </si>
  <si>
    <t>Wool Beanie Hat 32cm</t>
  </si>
  <si>
    <t>SKU-1209</t>
  </si>
  <si>
    <t>Anker 65W USB-C Charger Standard - Burgundy</t>
  </si>
  <si>
    <t>SKU-1210</t>
  </si>
  <si>
    <t>Apple Lightning Cable 2m 28cm - Black</t>
  </si>
  <si>
    <t>SKU-1211</t>
  </si>
  <si>
    <t>Steve Jobs Biography 2024 Edition</t>
  </si>
  <si>
    <t>SKU-1212</t>
  </si>
  <si>
    <t>Canon EOS R50 Camera - Cream</t>
  </si>
  <si>
    <t>SKU-1213</t>
  </si>
  <si>
    <t>Samsung 1TB Portable SSD Medium</t>
  </si>
  <si>
    <t>SKU-1214</t>
  </si>
  <si>
    <t>Stainless Steel Stock Pot Max - Graphite</t>
  </si>
  <si>
    <t>SKU-1215</t>
  </si>
  <si>
    <t>Google Nest Hub 2nd Gen Set of 4 - Cream</t>
  </si>
  <si>
    <t>SKU-1216</t>
  </si>
  <si>
    <t>Raspberry Pi 5 8GB Elite</t>
  </si>
  <si>
    <t>SKU-1217</t>
  </si>
  <si>
    <t>Thinking, Fast and Slow - Red</t>
  </si>
  <si>
    <t>SKU-1218</t>
  </si>
  <si>
    <t>Logitech C920 HD Webcam 28cm</t>
  </si>
  <si>
    <t>SKU-1219</t>
  </si>
  <si>
    <t>TP-Link Archer AX3000 Router Compact - Red</t>
  </si>
  <si>
    <t>SKU-1220</t>
  </si>
  <si>
    <t>Espresso Cups Set of 4 Pack of 5 - Taupe</t>
  </si>
  <si>
    <t>SKU-1221</t>
  </si>
  <si>
    <t>SKU-1222</t>
  </si>
  <si>
    <t>Bose QuietComfort Earbuds II - Graphite</t>
  </si>
  <si>
    <t>SKU-1223</t>
  </si>
  <si>
    <t>Baby Einstein Activity Gym 32cm</t>
  </si>
  <si>
    <t>SKU-1224</t>
  </si>
  <si>
    <t>Steam Deck OLED 512GB XL - Cream</t>
  </si>
  <si>
    <t>SKU-1225</t>
  </si>
  <si>
    <t>Apple AirPods Pro 2 Set of 6 - Blue</t>
  </si>
  <si>
    <t>SKU-1226</t>
  </si>
  <si>
    <t>Scented Soy Candle Smart</t>
  </si>
  <si>
    <t>SKU-1227</t>
  </si>
  <si>
    <t>Slim Fit Denim Jeans - White</t>
  </si>
  <si>
    <t>SKU-1228</t>
  </si>
  <si>
    <t>Waterproof Winter Jacket Large</t>
  </si>
  <si>
    <t>SKU-1229</t>
  </si>
  <si>
    <t>Monopoly Classic Board Game Analog - Green</t>
  </si>
  <si>
    <t>SKU-1230</t>
  </si>
  <si>
    <t>Merino Wool Sweater 32cm - Beige</t>
  </si>
  <si>
    <t>SKU-1231</t>
  </si>
  <si>
    <t>Leather Ankle Boots Smart</t>
  </si>
  <si>
    <t>SKU-1232</t>
  </si>
  <si>
    <t>Sunday Riley Good Genes Serum - Beige</t>
  </si>
  <si>
    <t>SKU-1233</t>
  </si>
  <si>
    <t>SKU-1234</t>
  </si>
  <si>
    <t>Cashmere Scarf Eco - Red</t>
  </si>
  <si>
    <t>SKU-1235</t>
  </si>
  <si>
    <t>Baseball Bat Aluminum Medium - Charcoal</t>
  </si>
  <si>
    <t>SKU-1236</t>
  </si>
  <si>
    <t>Linen Button-Up Shirt Mini</t>
  </si>
  <si>
    <t>SKU-1237</t>
  </si>
  <si>
    <t>Chino Shorts - Cream</t>
  </si>
  <si>
    <t>SKU-1238</t>
  </si>
  <si>
    <t>Colander Stainless Steel 28cm</t>
  </si>
  <si>
    <t>SKU-1239</t>
  </si>
  <si>
    <t>Puffer Vest Mini - Navy</t>
  </si>
  <si>
    <t>SKU-1240</t>
  </si>
  <si>
    <t>Silk Blouse One Size - Blue</t>
  </si>
  <si>
    <t>SKU-1241</t>
  </si>
  <si>
    <t>Raspberry Pi 5 8GB Performance</t>
  </si>
  <si>
    <t>SKU-1242</t>
  </si>
  <si>
    <t>Hooded Sweatshirt - Olive</t>
  </si>
  <si>
    <t>SKU-1243</t>
  </si>
  <si>
    <t>Pleated Midi Skirt Pack of 3</t>
  </si>
  <si>
    <t>SKU-1244</t>
  </si>
  <si>
    <t>Gone Girl - Thriller Travel - Taupe</t>
  </si>
  <si>
    <t>SKU-1245</t>
  </si>
  <si>
    <t>Thermal Base Layer Top Set of 2 - Graphite</t>
  </si>
  <si>
    <t>SKU-1246</t>
  </si>
  <si>
    <t>Swim Trunks Max</t>
  </si>
  <si>
    <t>SKU-1247</t>
  </si>
  <si>
    <t>Melissa &amp; Doug Wooden Train Set - Burgundy</t>
  </si>
  <si>
    <t>SKU-1248</t>
  </si>
  <si>
    <t>Denim Jacket Small</t>
  </si>
  <si>
    <t>SKU-1249</t>
  </si>
  <si>
    <t>Yoga Leggings Signature - Teal</t>
  </si>
  <si>
    <t>SKU-1250</t>
  </si>
  <si>
    <t>Slim Fit Denim Jeans 500ml - Coral</t>
  </si>
  <si>
    <t>SKU-1251</t>
  </si>
  <si>
    <t>Memory Foam Pillow 2024 Edition</t>
  </si>
  <si>
    <t>SKU-1252</t>
  </si>
  <si>
    <t>Fleece Throw Blanket - Slate</t>
  </si>
  <si>
    <t>SKU-1253</t>
  </si>
  <si>
    <t>Wilson Tennis Racket Small</t>
  </si>
  <si>
    <t>SKU-1254</t>
  </si>
  <si>
    <t>Persian Style Area Rug Home - Olive</t>
  </si>
  <si>
    <t>SKU-1255</t>
  </si>
  <si>
    <t>Blackout Curtains Pair 500ml - Burgundy</t>
  </si>
  <si>
    <t>SKU-1256</t>
  </si>
  <si>
    <t>Ceramic Decorative Vase Elite</t>
  </si>
  <si>
    <t>SKU-1257</t>
  </si>
  <si>
    <t>Minimalist Wall Clock - Ivory</t>
  </si>
  <si>
    <t>SKU-1258</t>
  </si>
  <si>
    <t>Round Wall Mirror 60cm X-Large</t>
  </si>
  <si>
    <t>SKU-1259</t>
  </si>
  <si>
    <t>Dyson Supersonic Hair Dryer Comfort - Navy</t>
  </si>
  <si>
    <t>SKU-1260</t>
  </si>
  <si>
    <t>Bamboo Drawer Organizer Large - Olive</t>
  </si>
  <si>
    <t>SKU-1261</t>
  </si>
  <si>
    <t>Weighted Blanket 7kg Essential</t>
  </si>
  <si>
    <t>SKU-1262</t>
  </si>
  <si>
    <t>Blackout Curtains Pair - Black</t>
  </si>
  <si>
    <t>SKU-1263</t>
  </si>
  <si>
    <t>Woven Laundry Basket Set of 4</t>
  </si>
  <si>
    <t>SKU-1264</t>
  </si>
  <si>
    <t>Digital Alarm Clock Digital - Graphite</t>
  </si>
  <si>
    <t>SKU-1265</t>
  </si>
  <si>
    <t>Oven Mitts Pair 200g - Ivory</t>
  </si>
  <si>
    <t>SKU-1266</t>
  </si>
  <si>
    <t>Artificial Monstera Plant 2024 Edition</t>
  </si>
  <si>
    <t>SKU-1267</t>
  </si>
  <si>
    <t>Wooden Coat Rack - Olive</t>
  </si>
  <si>
    <t>SKU-1268</t>
  </si>
  <si>
    <t>Olaplex No. 3 Treatment Set of 6</t>
  </si>
  <si>
    <t>SKU-1269</t>
  </si>
  <si>
    <t>Shoe Storage Cabinet Analog - Olive</t>
  </si>
  <si>
    <t>SKU-1270</t>
  </si>
  <si>
    <t>Microfiber Duvet Cover Large - Black</t>
  </si>
  <si>
    <t>SKU-1271</t>
  </si>
  <si>
    <t>Ninja Professional Blender Ultra</t>
  </si>
  <si>
    <t>SKU-1272</t>
  </si>
  <si>
    <t>Decorative Throw Pillow - Cream</t>
  </si>
  <si>
    <t>SKU-1273</t>
  </si>
  <si>
    <t>Bamboo Bath Mat Large</t>
  </si>
  <si>
    <t>SKU-1274</t>
  </si>
  <si>
    <t>Electric Kettle 1.7L Essential - Coral</t>
  </si>
  <si>
    <t>SKU-1275</t>
  </si>
  <si>
    <t>Underbed Storage Box 2L - Rose</t>
  </si>
  <si>
    <t>SKU-1276</t>
  </si>
  <si>
    <t>Non-Stick Frying Pan 28cm Analog</t>
  </si>
  <si>
    <t>SKU-1277</t>
  </si>
  <si>
    <t>Non-Stick Frying Pan 28cm - Navy</t>
  </si>
  <si>
    <t>SKU-1278</t>
  </si>
  <si>
    <t>SKU-1279</t>
  </si>
  <si>
    <t>Bamboo Cutting Board Compact - Teal</t>
  </si>
  <si>
    <t>SKU-1280</t>
  </si>
  <si>
    <t>Dune - Frank Herbert Medium - Cream</t>
  </si>
  <si>
    <t>SKU-1281</t>
  </si>
  <si>
    <t>Retro 2-Slice Toaster Compact</t>
  </si>
  <si>
    <t>SKU-1282</t>
  </si>
  <si>
    <t>Breville Barista Express - Ivory</t>
  </si>
  <si>
    <t>SKU-1283</t>
  </si>
  <si>
    <t>Chanel No. 5 Eau de Parfum Pack of 3</t>
  </si>
  <si>
    <t>SKU-1284</t>
  </si>
  <si>
    <t>Ceramic Coffee Mug 400ml Digital - Black</t>
  </si>
  <si>
    <t>SKU-1285</t>
  </si>
  <si>
    <t>Silicone Spatula Set 2L - Charcoal</t>
  </si>
  <si>
    <t>SKU-1286</t>
  </si>
  <si>
    <t>Stainless Steel Stock Pot Studio</t>
  </si>
  <si>
    <t>SKU-1287</t>
  </si>
  <si>
    <t>Glass Food Storage Set - Navy</t>
  </si>
  <si>
    <t>SKU-1288</t>
  </si>
  <si>
    <t>Electric Kettle 1.7L 1L</t>
  </si>
  <si>
    <t>SKU-1289</t>
  </si>
  <si>
    <t>Pleated Midi Skirt Compact - Teal</t>
  </si>
  <si>
    <t>SKU-1290</t>
  </si>
  <si>
    <t>Espresso Cups Set of 4 28cm - Charcoal</t>
  </si>
  <si>
    <t>SKU-1291</t>
  </si>
  <si>
    <t>Salad Spinner Home</t>
  </si>
  <si>
    <t>SKU-1292</t>
  </si>
  <si>
    <t>Digital Alarm Clock - Teal</t>
  </si>
  <si>
    <t>SKU-1293</t>
  </si>
  <si>
    <t>Kitchen Scale Digital 750ml</t>
  </si>
  <si>
    <t>SKU-1294</t>
  </si>
  <si>
    <t>Air Fryer 5.5L Advanced - Teal</t>
  </si>
  <si>
    <t>SKU-1295</t>
  </si>
  <si>
    <t>Wilson Tennis Racket Pack of 3 - White</t>
  </si>
  <si>
    <t>SKU-1296</t>
  </si>
  <si>
    <t>Pepper Mill Wooden Compact</t>
  </si>
  <si>
    <t>SKU-1297</t>
  </si>
  <si>
    <t>Oven Mitts Pair - Charcoal</t>
  </si>
  <si>
    <t>SKU-1298</t>
  </si>
  <si>
    <t>Atomic Habits - Hardcover Set of 2</t>
  </si>
  <si>
    <t>SKU-1299</t>
  </si>
  <si>
    <t>Citrus Juicer Manual Essential - Olive</t>
  </si>
  <si>
    <t>SKU-1300</t>
  </si>
  <si>
    <t>Pastry Brush Set 30cm - Coral</t>
  </si>
  <si>
    <t>SKU-1301</t>
  </si>
  <si>
    <t>OPI Nail Polish Performance</t>
  </si>
  <si>
    <t>SKU-1302</t>
  </si>
  <si>
    <t>Adjustable Dumbbell 20kg - Teal</t>
  </si>
  <si>
    <t>SKU-1303</t>
  </si>
  <si>
    <t>Nike Air Zoom Running Shoes 200g</t>
  </si>
  <si>
    <t>SKU-1304</t>
  </si>
  <si>
    <t>Yoga Leggings Elite - Green</t>
  </si>
  <si>
    <t>SKU-1305</t>
  </si>
  <si>
    <t>Resistance Bands Set Set of 4 - Blue</t>
  </si>
  <si>
    <t>SKU-1306</t>
  </si>
  <si>
    <t>Wilson Tennis Racket Ultra</t>
  </si>
  <si>
    <t>SKU-1307</t>
  </si>
  <si>
    <t>Bamboo Bath Mat - Burgundy</t>
  </si>
  <si>
    <t>SKU-1308</t>
  </si>
  <si>
    <t>Gym Duffel Bag 40L 750ml</t>
  </si>
  <si>
    <t>SKU-1309</t>
  </si>
  <si>
    <t>Giro Bicycle Helmet Ultra - Beige</t>
  </si>
  <si>
    <t>SKU-1310</t>
  </si>
  <si>
    <t>The Ordinary Niacinamide Serum Small - Ivory</t>
  </si>
  <si>
    <t>SKU-1311</t>
  </si>
  <si>
    <t>Foam Roller Home</t>
  </si>
  <si>
    <t>SKU-1312</t>
  </si>
  <si>
    <t>Kettlebell 16kg - Charcoal</t>
  </si>
  <si>
    <t>SKU-1313</t>
  </si>
  <si>
    <t>Silk Blouse Set of 2</t>
  </si>
  <si>
    <t>SKU-1314</t>
  </si>
  <si>
    <t>Cycling Jersey Studio - Red</t>
  </si>
  <si>
    <t>SKU-1315</t>
  </si>
  <si>
    <t>Hiking Backpack 30L X-Large - Rose</t>
  </si>
  <si>
    <t>SKU-1316</t>
  </si>
  <si>
    <t>Sapiens: A Brief History of Humankind Signature</t>
  </si>
  <si>
    <t>SKU-1317</t>
  </si>
  <si>
    <t>Pull-Up Bar Doorway - Black</t>
  </si>
  <si>
    <t>SKU-1318</t>
  </si>
  <si>
    <t>Balance Board Set of 2</t>
  </si>
  <si>
    <t>SKU-1319</t>
  </si>
  <si>
    <t>Charlotte Tilbury Pillow Talk Lipstick Smart - White</t>
  </si>
  <si>
    <t>SKU-1320</t>
  </si>
  <si>
    <t>Trekking Poles Pair 200g - White</t>
  </si>
  <si>
    <t>SKU-1321</t>
  </si>
  <si>
    <t>Exercise Ball 65cm Classic</t>
  </si>
  <si>
    <t>SKU-1322</t>
  </si>
  <si>
    <t>Slim Fit Denim Jeans - Slate</t>
  </si>
  <si>
    <t>SKU-1323</t>
  </si>
  <si>
    <t>Sports Watch Digital One Size</t>
  </si>
  <si>
    <t>SKU-1324</t>
  </si>
  <si>
    <t>Baseball Bat Aluminum Digital - Gray</t>
  </si>
  <si>
    <t>SKU-1325</t>
  </si>
  <si>
    <t>NARS Radiant Creamy Concealer Pack of 3 - Red</t>
  </si>
  <si>
    <t>SKU-1326</t>
  </si>
  <si>
    <t>KÃ©rastase Shampoo 250ml Home</t>
  </si>
  <si>
    <t>SKU-1327</t>
  </si>
  <si>
    <t>Moroccanoil Conditioner - Teal</t>
  </si>
  <si>
    <t>SKU-1328</t>
  </si>
  <si>
    <t>Insulated Water Bottle 750ml Set of 6</t>
  </si>
  <si>
    <t>SKU-1329</t>
  </si>
  <si>
    <t>The Ordinary Niacinamide Serum Comfort - Burgundy</t>
  </si>
  <si>
    <t>SKU-1330</t>
  </si>
  <si>
    <t>Chanel No. 5 Eau de Parfum Pack of 5 - Ivory</t>
  </si>
  <si>
    <t>SKU-1331</t>
  </si>
  <si>
    <t>Kitchen Wall Shelf Performance</t>
  </si>
  <si>
    <t>SKU-1332</t>
  </si>
  <si>
    <t>EstÃ©e Lauder Double Wear Foundation - Taupe</t>
  </si>
  <si>
    <t>SKU-1333</t>
  </si>
  <si>
    <t>Garnier Sheet Mask Set Pack of 5</t>
  </si>
  <si>
    <t>SKU-1334</t>
  </si>
  <si>
    <t>LEGO Classic Creative Bricks Home - Cream</t>
  </si>
  <si>
    <t>SKU-1335</t>
  </si>
  <si>
    <t>Dyson Supersonic Hair Dryer Set of 2 - Olive</t>
  </si>
  <si>
    <t>SKU-1336</t>
  </si>
  <si>
    <t>Clinique Take The Day Off Balm Max</t>
  </si>
  <si>
    <t>SKU-1337</t>
  </si>
  <si>
    <t>Google Nest Hub 2nd Gen - Olive</t>
  </si>
  <si>
    <t>SKU-1338</t>
  </si>
  <si>
    <t>Sunday Riley Good Genes Serum Pack of 5</t>
  </si>
  <si>
    <t>SKU-1339</t>
  </si>
  <si>
    <t>Benefit Cosmetics Hoola Bronzer Plus - Graphite</t>
  </si>
  <si>
    <t>SKU-1340</t>
  </si>
  <si>
    <t>LEGO Classic Creative Bricks Set of 6 - Beige</t>
  </si>
  <si>
    <t>SKU-1341</t>
  </si>
  <si>
    <t>Olaplex No. 3 Treatment 2024 Edition</t>
  </si>
  <si>
    <t>SKU-1342</t>
  </si>
  <si>
    <t>Tatcha Dewy Skin Cream - Ivory</t>
  </si>
  <si>
    <t>SKU-1343</t>
  </si>
  <si>
    <t>Apple Lightning Cable 2m 400g</t>
  </si>
  <si>
    <t>SKU-1344</t>
  </si>
  <si>
    <t>Drunk Elephant C-Firma Day Serum Essential - Teal</t>
  </si>
  <si>
    <t>SKU-1345</t>
  </si>
  <si>
    <t>Kiehl's Midnight Recovery Concentrate X-Large - Slate</t>
  </si>
  <si>
    <t>SKU-1346</t>
  </si>
  <si>
    <t>Dyson Supersonic Hair Dryer Analog</t>
  </si>
  <si>
    <t>SKU-1347</t>
  </si>
  <si>
    <t>Urban Decay Naked Eyeshadow Palette - Blue</t>
  </si>
  <si>
    <t>SKU-1348</t>
  </si>
  <si>
    <t>Aesop Resurrection Hand Balm Pack of 3</t>
  </si>
  <si>
    <t>SKU-1349</t>
  </si>
  <si>
    <t>Moroccanoil Conditioner XL - Red</t>
  </si>
  <si>
    <t>SKU-1350</t>
  </si>
  <si>
    <t>Jo Malone London Candle Set of 4 - Burgundy</t>
  </si>
  <si>
    <t>SKU-1351</t>
  </si>
  <si>
    <t>The Great Gatsby - Paperback Mini</t>
  </si>
  <si>
    <t>SKU-1352</t>
  </si>
  <si>
    <t>Salad Spinner - Coral</t>
  </si>
  <si>
    <t>SKU-1353</t>
  </si>
  <si>
    <t>Introduction to Algorithms - Hardcover Large</t>
  </si>
  <si>
    <t>SKU-1354</t>
  </si>
  <si>
    <t>Becoming by Michelle Obama Plus - Navy</t>
  </si>
  <si>
    <t>SKU-1355</t>
  </si>
  <si>
    <t>La Roche-Posay Moisturizer Large - Blue</t>
  </si>
  <si>
    <t>SKU-1356</t>
  </si>
  <si>
    <t>Leuchtturm1917 Bullet Journal Ultra</t>
  </si>
  <si>
    <t>SKU-1357</t>
  </si>
  <si>
    <t>Oxford English Dictionary - White</t>
  </si>
  <si>
    <t>SKU-1358</t>
  </si>
  <si>
    <t>National Geographic Atlas Large</t>
  </si>
  <si>
    <t>SKU-1359</t>
  </si>
  <si>
    <t>Milk and Honey Poetry Collection Analog - Green</t>
  </si>
  <si>
    <t>SKU-1360</t>
  </si>
  <si>
    <t>Gone Girl - Thriller Set of 2 - Burgundy</t>
  </si>
  <si>
    <t>SKU-1361</t>
  </si>
  <si>
    <t>Kiehl's Midnight Recovery Concentrate Premium</t>
  </si>
  <si>
    <t>SKU-1362</t>
  </si>
  <si>
    <t>Atomic Habits - Hardcover - Beige</t>
  </si>
  <si>
    <t>SKU-1363</t>
  </si>
  <si>
    <t>The Alchemist - Paperback Pack of 5</t>
  </si>
  <si>
    <t>SKU-1364</t>
  </si>
  <si>
    <t>Woven Laundry Basket Analog - Red</t>
  </si>
  <si>
    <t>SKU-1365</t>
  </si>
  <si>
    <t>Steve Jobs Biography Pack of 3 - Navy</t>
  </si>
  <si>
    <t>SKU-1366</t>
  </si>
  <si>
    <t>To Kill a Mockingbird Eco</t>
  </si>
  <si>
    <t>SKU-1367</t>
  </si>
  <si>
    <t>MAC Matte Lipstick - Teal</t>
  </si>
  <si>
    <t>SKU-1368</t>
  </si>
  <si>
    <t>The Hobbit - Illustrated Pack of 3</t>
  </si>
  <si>
    <t>SKU-1369</t>
  </si>
  <si>
    <t>Pride and Prejudice Advanced - Coral</t>
  </si>
  <si>
    <t>SKU-1370</t>
  </si>
  <si>
    <t>Funko Pop! Vinyl Figure 750ml - Cream</t>
  </si>
  <si>
    <t>SKU-1371</t>
  </si>
  <si>
    <t>Thinking, Fast and Slow Plus</t>
  </si>
  <si>
    <t>SKU-1372</t>
  </si>
  <si>
    <t>The Subtle Art of Not Giving a F*ck - Lavender</t>
  </si>
  <si>
    <t>SKU-1373</t>
  </si>
  <si>
    <t>Apple AirPods Pro 2 32cm</t>
  </si>
  <si>
    <t>SKU-1374</t>
  </si>
  <si>
    <t>The Four Agreements Elite - Gray</t>
  </si>
  <si>
    <t>SKU-1375</t>
  </si>
  <si>
    <t>Dune - Frank Herbert Pack of 5 - Beige</t>
  </si>
  <si>
    <t>SKU-1376</t>
  </si>
  <si>
    <t>Chino Shorts Premium</t>
  </si>
  <si>
    <t>SKU-1377</t>
  </si>
  <si>
    <t>Catan Board Game - Slate</t>
  </si>
  <si>
    <t>SKU-1378</t>
  </si>
  <si>
    <t>Barbie Fashionistas Doll X-Large</t>
  </si>
  <si>
    <t>SKU-1379</t>
  </si>
  <si>
    <t>Fitbit Charge 6 Pro - Ivory</t>
  </si>
  <si>
    <t>SKU-1380</t>
  </si>
  <si>
    <t>LEGO Classic Creative Bricks 200g - Blue</t>
  </si>
  <si>
    <t>SKU-1381</t>
  </si>
  <si>
    <t>Jellycat Bashful Bunny Plush Max</t>
  </si>
  <si>
    <t>SKU-1382</t>
  </si>
  <si>
    <t>Swim Goggles Anti-Fog - Teal</t>
  </si>
  <si>
    <t>SKU-1383</t>
  </si>
  <si>
    <t>Crayola Ultimate Art Set One Size</t>
  </si>
  <si>
    <t>SKU-1384</t>
  </si>
  <si>
    <t>National Geographic Science Kit Travel - Burgundy</t>
  </si>
  <si>
    <t>SKU-1385</t>
  </si>
  <si>
    <t>Waterproof Winter Jacket Medium - Slate</t>
  </si>
  <si>
    <t>SKU-1386</t>
  </si>
  <si>
    <t>Hot Wheels 20-Car Gift Pack Lite</t>
  </si>
  <si>
    <t>SKU-1387</t>
  </si>
  <si>
    <t>Play-Doh 36-Can Mega Pack - Ivory</t>
  </si>
  <si>
    <t>SKU-1388</t>
  </si>
  <si>
    <t>SKU-1389</t>
  </si>
  <si>
    <t>Nerf Elite Disruptor Blaster Mini - Cream</t>
  </si>
  <si>
    <t>SKU-1390</t>
  </si>
  <si>
    <t>Melissa &amp; Doug Wooden Train Set 400g - Cream</t>
  </si>
  <si>
    <t>SKU-1391</t>
  </si>
  <si>
    <t>Woven Laundry Basket Studio</t>
  </si>
  <si>
    <t>SKU-1392</t>
  </si>
  <si>
    <t>Rubik's Cube 3x3 - Red</t>
  </si>
  <si>
    <t>SKU-1393</t>
  </si>
  <si>
    <t>LEGO Star Wars X-Wing Set of 6</t>
  </si>
  <si>
    <t>SKU-1394</t>
  </si>
  <si>
    <t>Hot Wheels 20-Car Gift Pack Mini - Taupe</t>
  </si>
  <si>
    <t>SKU-1395</t>
  </si>
  <si>
    <t>Playmobil Pirate Ship 2L - Green</t>
  </si>
  <si>
    <t>SKU-1396</t>
  </si>
  <si>
    <t>Jenga Classic Game Mini</t>
  </si>
  <si>
    <t>SKU-1397</t>
  </si>
  <si>
    <t>Thinking, Fast and Slow - Charcoal</t>
  </si>
  <si>
    <t>SKU-1398</t>
  </si>
  <si>
    <t>Magna-Tiles 32-Piece Set Set of 2</t>
  </si>
  <si>
    <t>SKU-1399</t>
  </si>
  <si>
    <t>Schleich Horse Stable Playset 2024 Edition - Graphite</t>
  </si>
  <si>
    <t>SKU-1400</t>
  </si>
  <si>
    <t>Balance Board Small - Red</t>
  </si>
  <si>
    <t>SKU-1401</t>
  </si>
  <si>
    <t>Apple iPhone 15 Compact</t>
  </si>
  <si>
    <t>SKU-1402</t>
  </si>
  <si>
    <t>Samsung Galaxy S24 - Gray</t>
  </si>
  <si>
    <t>SKU-1403</t>
  </si>
  <si>
    <t>Premium Yoga Mat 6mm Set of 4</t>
  </si>
  <si>
    <t>SKU-1404</t>
  </si>
  <si>
    <t>Logitech MX Master 3S Mouse Premium - Lavender</t>
  </si>
  <si>
    <t>SKU-1405</t>
  </si>
  <si>
    <t>Keychron K2 Mechanical Keyboard Small - Slate</t>
  </si>
  <si>
    <t>SKU-1406</t>
  </si>
  <si>
    <t>Introduction to Algorithms - Hardcover Elite</t>
  </si>
  <si>
    <t>SKU-1407</t>
  </si>
  <si>
    <t>Apple iPad Air - Graphite</t>
  </si>
  <si>
    <t>SKU-1408</t>
  </si>
  <si>
    <t>Garmin Forerunner 265 Smartwatch 750ml</t>
  </si>
  <si>
    <t>SKU-1409</t>
  </si>
  <si>
    <t>Gone Girl - Thriller Smart - Rose</t>
  </si>
  <si>
    <t>SKU-1410</t>
  </si>
  <si>
    <t>Apple Lightning Cable 2m Pack of 3 - Olive</t>
  </si>
  <si>
    <t>SKU-1411</t>
  </si>
  <si>
    <t>JBL Flip 6 Bluetooth Speaker Max</t>
  </si>
  <si>
    <t>SKU-1412</t>
  </si>
  <si>
    <t>Stainless Steel Stock Pot - Black</t>
  </si>
  <si>
    <t>SKU-1413</t>
  </si>
  <si>
    <t>Samsung 1TB Portable SSD X-Large</t>
  </si>
  <si>
    <t>SKU-1414</t>
  </si>
  <si>
    <t>Amazon Echo Dot 5th Gen Analog - Rose</t>
  </si>
  <si>
    <t>SKU-1415</t>
  </si>
  <si>
    <t>Melissa &amp; Doug Wooden Train Set 32cm - Cream</t>
  </si>
  <si>
    <t>SKU-1416</t>
  </si>
  <si>
    <t>Raspberry Pi 5 8GB Analog</t>
  </si>
  <si>
    <t>SKU-1417</t>
  </si>
  <si>
    <t>Arduino Uno R4 WiFi - Black</t>
  </si>
  <si>
    <t>SKU-1418</t>
  </si>
  <si>
    <t>Fisher-Price Rock-a-Stack Medium</t>
  </si>
  <si>
    <t>SKU-1419</t>
  </si>
  <si>
    <t>TP-Link Archer AX3000 Router XL - Cream</t>
  </si>
  <si>
    <t>SKU-1420</t>
  </si>
  <si>
    <t>Philips Hue White Bulb One Size - Beige</t>
  </si>
  <si>
    <t>SKU-1421</t>
  </si>
  <si>
    <t>Garnier Sheet Mask Set Pro</t>
  </si>
  <si>
    <t>SKU-1422</t>
  </si>
  <si>
    <t>Bose QuietComfort Earbuds II - Lavender</t>
  </si>
  <si>
    <t>SKU-1423</t>
  </si>
  <si>
    <t>SKU-1424</t>
  </si>
  <si>
    <t>The Very Hungry Caterpillar XL - Red</t>
  </si>
  <si>
    <t>SKU-1425</t>
  </si>
  <si>
    <t>Apple AirPods Pro 2 One Size - Rose</t>
  </si>
  <si>
    <t>SKU-1426</t>
  </si>
  <si>
    <t>Cotton Crew Neck T-Shirt Signature</t>
  </si>
  <si>
    <t>SKU-1427</t>
  </si>
  <si>
    <t>Melissa &amp; Doug Wooden Train Set - Taupe</t>
  </si>
  <si>
    <t>SKU-1428</t>
  </si>
  <si>
    <t>Waterproof Winter Jacket Pack of 3</t>
  </si>
  <si>
    <t>SKU-1429</t>
  </si>
  <si>
    <t>Floral Summer Dress Standard - White</t>
  </si>
  <si>
    <t>SKU-1430</t>
  </si>
  <si>
    <t>Becoming by Michelle Obama Small - Gray</t>
  </si>
  <si>
    <t>SKU-1431</t>
  </si>
  <si>
    <t>Leather Ankle Boots Standard</t>
  </si>
  <si>
    <t>SKU-1432</t>
  </si>
  <si>
    <t>Cotton Athletic Socks 6-Pack - Black</t>
  </si>
  <si>
    <t>SKU-1433</t>
  </si>
  <si>
    <t>Sapiens: A Brief History of Humankind Large</t>
  </si>
  <si>
    <t>SKU-1434</t>
  </si>
  <si>
    <t>Cashmere Scarf Essential - Teal</t>
  </si>
  <si>
    <t>SKU-1435</t>
  </si>
  <si>
    <t>Genuine Leather Belt Pack of 5 - Navy</t>
  </si>
  <si>
    <t>SKU-1436</t>
  </si>
  <si>
    <t>Non-Stick Frying Pan 28cm Essential</t>
  </si>
  <si>
    <t>SKU-1437</t>
  </si>
  <si>
    <t>Chino Shorts - Teal</t>
  </si>
  <si>
    <t>SKU-1438</t>
  </si>
  <si>
    <t>Running Sneakers X-Large</t>
  </si>
  <si>
    <t>SKU-1439</t>
  </si>
  <si>
    <t>Salt, Fat, Acid, Heat - Cookbook Essential - Olive</t>
  </si>
  <si>
    <t>SKU-1440</t>
  </si>
  <si>
    <t>Silk Blouse 750ml - Taupe</t>
  </si>
  <si>
    <t>SKU-1441</t>
  </si>
  <si>
    <t>Cargo Pants Plus</t>
  </si>
  <si>
    <t>SKU-1442</t>
  </si>
  <si>
    <t>SKU-1443</t>
  </si>
  <si>
    <t>Pleated Midi Skirt Set of 6</t>
  </si>
  <si>
    <t>SKU-1444</t>
  </si>
  <si>
    <t>Blazer Jacket Analog - Beige</t>
  </si>
  <si>
    <t>SKU-1445</t>
  </si>
  <si>
    <t>Shoe Storage Cabinet Small - Ivory</t>
  </si>
  <si>
    <t>SKU-1446</t>
  </si>
  <si>
    <t>Swim Trunks Home</t>
  </si>
  <si>
    <t>SKU-1447</t>
  </si>
  <si>
    <t>Ballet Flats - Olive</t>
  </si>
  <si>
    <t>SKU-1448</t>
  </si>
  <si>
    <t>Kettlebell 16kg Small</t>
  </si>
  <si>
    <t>SKU-1449</t>
  </si>
  <si>
    <t>Yoga Leggings Standard - Green</t>
  </si>
  <si>
    <t>SKU-1450</t>
  </si>
  <si>
    <t>Polo Shirt 30cm - Blue</t>
  </si>
  <si>
    <t>SKU-1451</t>
  </si>
  <si>
    <t>Rich Dad Poor Dad Plus</t>
  </si>
  <si>
    <t>SKU-1452</t>
  </si>
  <si>
    <t>Fleece Throw Blanket - Coral</t>
  </si>
  <si>
    <t>SKU-1453</t>
  </si>
  <si>
    <t>Modern Table Lamp 750ml</t>
  </si>
  <si>
    <t>SKU-1454</t>
  </si>
  <si>
    <t>Nintendo Switch OLED Premium - Slate</t>
  </si>
  <si>
    <t>SKU-1455</t>
  </si>
  <si>
    <t>Blackout Curtains Pair 200g - Coral</t>
  </si>
  <si>
    <t>SKU-1456</t>
  </si>
  <si>
    <t>Ceramic Decorative Vase Digital</t>
  </si>
  <si>
    <t>SKU-1457</t>
  </si>
  <si>
    <t>The Hobbit - Illustrated - Rose</t>
  </si>
  <si>
    <t>SKU-1458</t>
  </si>
  <si>
    <t>Round Wall Mirror 60cm 1L</t>
  </si>
  <si>
    <t>SKU-1459</t>
  </si>
  <si>
    <t>Scented Soy Candle Lite - Lavender</t>
  </si>
  <si>
    <t>SKU-1460</t>
  </si>
  <si>
    <t>Aromatherapy Diffuser Set of 2 - Beige</t>
  </si>
  <si>
    <t>SKU-1461</t>
  </si>
  <si>
    <t>Weighted Blanket 7kg Compact</t>
  </si>
  <si>
    <t>SKU-1462</t>
  </si>
  <si>
    <t>Velvet Cushion Cover - Taupe</t>
  </si>
  <si>
    <t>SKU-1463</t>
  </si>
  <si>
    <t>The Great Gatsby - Paperback Set of 2</t>
  </si>
  <si>
    <t>SKU-1464</t>
  </si>
  <si>
    <t>Digital Alarm Clock Essential - Teal</t>
  </si>
  <si>
    <t>SKU-1465</t>
  </si>
  <si>
    <t>Glass Photo Frame 20x25 200g - Red</t>
  </si>
  <si>
    <t>SKU-1466</t>
  </si>
  <si>
    <t>Decorative Throw Pillow Essential</t>
  </si>
  <si>
    <t>SKU-1467</t>
  </si>
  <si>
    <t>Wooden Coat Rack - Gray</t>
  </si>
  <si>
    <t>SKU-1468</t>
  </si>
  <si>
    <t>LED Strip Lights 5m Set of 2</t>
  </si>
  <si>
    <t>SKU-1469</t>
  </si>
  <si>
    <t>Apple AirPods Pro 2 Essential - Slate</t>
  </si>
  <si>
    <t>SKU-1470</t>
  </si>
  <si>
    <t>Microfiber Duvet Cover 500ml - Ivory</t>
  </si>
  <si>
    <t>SKU-1471</t>
  </si>
  <si>
    <t>Kitchen Wall Shelf Elite</t>
  </si>
  <si>
    <t>SKU-1472</t>
  </si>
  <si>
    <t>The Hobbit - Illustrated - Navy</t>
  </si>
  <si>
    <t>SKU-1473</t>
  </si>
  <si>
    <t>Bamboo Bath Mat Set of 6</t>
  </si>
  <si>
    <t>SKU-1474</t>
  </si>
  <si>
    <t>Aromatherapy Diffuser XL - Taupe</t>
  </si>
  <si>
    <t>SKU-1475</t>
  </si>
  <si>
    <t>Floral Summer Dress Set of 4 - White</t>
  </si>
  <si>
    <t>SKU-1476</t>
  </si>
  <si>
    <t>Non-Stick Frying Pan 28cm Lite</t>
  </si>
  <si>
    <t>SKU-1477</t>
  </si>
  <si>
    <t>Stainless Steel Stock Pot - Coral</t>
  </si>
  <si>
    <t>SKU-1478</t>
  </si>
  <si>
    <t>LEGO Star Wars X-Wing Medium</t>
  </si>
  <si>
    <t>SKU-1479</t>
  </si>
  <si>
    <t>Bamboo Cutting Board XL - Beige</t>
  </si>
  <si>
    <t>SKU-1480</t>
  </si>
  <si>
    <t>Ninja Professional Blender Pack of 5 - Olive</t>
  </si>
  <si>
    <t>SKU-1481</t>
  </si>
  <si>
    <t>Rubik's Cube 3x3 2024 Edition</t>
  </si>
  <si>
    <t>SKU-1482</t>
  </si>
  <si>
    <t>Breville Barista Express - Teal</t>
  </si>
  <si>
    <t>SKU-1483</t>
  </si>
  <si>
    <t>Porcelain Dinner Plate Set 750ml</t>
  </si>
  <si>
    <t>SKU-1484</t>
  </si>
  <si>
    <t>Laura Mercier Translucent Powder Travel - Coral</t>
  </si>
  <si>
    <t>SKU-1485</t>
  </si>
  <si>
    <t>Silicone Spatula Set Set of 6 - Red</t>
  </si>
  <si>
    <t>SKU-1486</t>
  </si>
  <si>
    <t>Cast Iron Dutch Oven Max</t>
  </si>
  <si>
    <t>SKU-1487</t>
  </si>
  <si>
    <t>Salad Spinner - Red</t>
  </si>
  <si>
    <t>SKU-1488</t>
  </si>
  <si>
    <t>SKU-1489</t>
  </si>
  <si>
    <t>Pasta Maker Machine Plus - Burgundy</t>
  </si>
  <si>
    <t>SKU-1490</t>
  </si>
  <si>
    <t>Nike Air Zoom Running Shoes Set of 4 - Lavender</t>
  </si>
  <si>
    <t>SKU-1491</t>
  </si>
  <si>
    <t>Salad Spinner Digital</t>
  </si>
  <si>
    <t>SKU-1492</t>
  </si>
  <si>
    <t>Meat Thermometer Digital - Slate</t>
  </si>
  <si>
    <t>SKU-1493</t>
  </si>
  <si>
    <t>Aesop Resurrection Hand Balm 2L</t>
  </si>
  <si>
    <t>SKU-1494</t>
  </si>
  <si>
    <t>Air Fryer 5.5L Standard - Ivory</t>
  </si>
  <si>
    <t>SKU-1495</t>
  </si>
  <si>
    <t>Rice Cooker 1.8L One Size - Lavender</t>
  </si>
  <si>
    <t>SKU-1496</t>
  </si>
  <si>
    <t>Steve Jobs Biography Eco</t>
  </si>
  <si>
    <t>SKU-1497</t>
  </si>
  <si>
    <t>Oven Mitts Pair - Rose</t>
  </si>
  <si>
    <t>SKU-1498</t>
  </si>
  <si>
    <t>SKU-1499</t>
  </si>
  <si>
    <t>Weighted Blanket 7kg Advanced - Graphite</t>
  </si>
  <si>
    <t>SKU-1500</t>
  </si>
  <si>
    <t>Pastry Brush Set Pack of 3 - Red</t>
  </si>
  <si>
    <t>Margin Audit</t>
  </si>
  <si>
    <t>Margin Health Status</t>
  </si>
  <si>
    <t>SKU Count</t>
  </si>
  <si>
    <t>Supplier Stock Units</t>
  </si>
  <si>
    <t>Total Supplier Cost</t>
  </si>
  <si>
    <t>Total Retail Value</t>
  </si>
  <si>
    <t>Net Profit/Loss</t>
  </si>
  <si>
    <t>Avg Margin %</t>
  </si>
  <si>
    <t>Total</t>
  </si>
  <si>
    <t>Stock Health</t>
  </si>
  <si>
    <t>Stock Health Status</t>
  </si>
  <si>
    <t>Internal Stock Units</t>
  </si>
  <si>
    <t>Internal Stock Value</t>
  </si>
  <si>
    <t>Recommended Route</t>
  </si>
  <si>
    <t>Category Margin</t>
  </si>
  <si>
    <t>Product Category</t>
  </si>
  <si>
    <t>Weight on Internal Stock %</t>
  </si>
  <si>
    <t xml:space="preserve">Weighted Margin % </t>
  </si>
  <si>
    <t>Reorder Alert SKUs</t>
  </si>
  <si>
    <t>Average Ticket Price</t>
  </si>
  <si>
    <t>(Blanks)</t>
  </si>
  <si>
    <t>Category Leverage Status</t>
  </si>
  <si>
    <t>Supplier Leverage Ratio</t>
  </si>
  <si>
    <t>Leverage Status</t>
  </si>
  <si>
    <t>Category Price Tier</t>
  </si>
  <si>
    <t>Min Retail Price</t>
  </si>
  <si>
    <t>Max Retail Price</t>
  </si>
  <si>
    <t>Price Tier</t>
  </si>
  <si>
    <t>Required Reorder Budget</t>
  </si>
  <si>
    <t>Stock Alert Status</t>
  </si>
  <si>
    <t>Current Stock Units</t>
  </si>
  <si>
    <t>Reorder Units</t>
  </si>
  <si>
    <t>Below Reorder Point</t>
  </si>
  <si>
    <t>Critical Internal Stockout</t>
  </si>
  <si>
    <t>Actionable Reorder Budget</t>
  </si>
  <si>
    <t>Fulfillment Feasibility Tier</t>
  </si>
  <si>
    <t>Theoretical Reorder Need</t>
  </si>
  <si>
    <t>Fulfillable Units</t>
  </si>
  <si>
    <t>Shortfall Units</t>
  </si>
  <si>
    <t>Fulfillment Capacity %</t>
  </si>
  <si>
    <t>Full Coverage</t>
  </si>
  <si>
    <t>Partial Coverage</t>
  </si>
  <si>
    <t>Integration Status</t>
  </si>
  <si>
    <t>Catalog Integration Status</t>
  </si>
  <si>
    <t>Supplier Stock Value</t>
  </si>
  <si>
    <t>SUPPLIER ONLY (Unmatched)</t>
  </si>
  <si>
    <t>EXECUTIVE SUPPLY CHAIN &amp; MARGIN DASHBOARD</t>
  </si>
  <si>
    <t>INTERNAL STOCK VALUE</t>
  </si>
  <si>
    <t>SUPPLIER STOCK VALUE</t>
  </si>
  <si>
    <t>POTENTIAL NET PROFIT</t>
  </si>
  <si>
    <t>EXECUTIVE REORDER BUDGET</t>
  </si>
  <si>
    <t>SAVED LIQUIDITY</t>
  </si>
  <si>
    <t>Protected by supplier constraints</t>
  </si>
  <si>
    <t>DATA QUALITY &amp; OPERATIONAL HEALTH AUDIT</t>
  </si>
  <si>
    <t>Overall Health Category</t>
  </si>
  <si>
    <t>Internal Stock Value (€)</t>
  </si>
  <si>
    <t>Supplier Stock Value (€)</t>
  </si>
  <si>
    <t>Recommended Action</t>
  </si>
  <si>
    <t>DUPLICATE: Duplicate Product Name</t>
  </si>
  <si>
    <t>Reconcile product name records (different SKUs)</t>
  </si>
  <si>
    <t>UNMATCHED: Supplier Only</t>
  </si>
  <si>
    <t>Map codes in the e-commerce catalog</t>
  </si>
  <si>
    <t>CRITICAL: Negative Margin</t>
  </si>
  <si>
    <t>Suspend sales and update price list</t>
  </si>
  <si>
    <t>WARNING: Missing Price</t>
  </si>
  <si>
    <t>Enter missing retail price</t>
  </si>
  <si>
    <t>WARNING: Internal Stockout</t>
  </si>
  <si>
    <t>Enable dropshipping routing</t>
  </si>
  <si>
    <t>ATTENTION: Low Stock (Full Cvg)</t>
  </si>
  <si>
    <t>Activate 100% Purchase Order routing</t>
  </si>
  <si>
    <t xml:space="preserve">ATTENTION: Low Stock (Partial Cvg)		</t>
  </si>
  <si>
    <t>Order max 944 units + Backorder follow-up</t>
  </si>
  <si>
    <t>HEALTHY: OK</t>
  </si>
  <si>
    <t>Standard full-scale operations</t>
  </si>
  <si>
    <t>total</t>
  </si>
  <si>
    <t>Sum of Internal Stock Units</t>
  </si>
  <si>
    <t>Sum of Supplier Stock Units</t>
  </si>
  <si>
    <t>Sum of Net Profit/Loss</t>
  </si>
  <si>
    <t>Grand Total</t>
  </si>
  <si>
    <t>Sum of Theoretical Reorder Need</t>
  </si>
  <si>
    <t>Sum of Fulfillable Units</t>
  </si>
  <si>
    <t>Sum of Internal Stock Value</t>
  </si>
  <si>
    <t>Sum of SKU Count</t>
  </si>
  <si>
    <t>HEALTHY AVAILABILITY</t>
  </si>
  <si>
    <t xml:space="preserve">WARNING Below reorder point </t>
  </si>
  <si>
    <t xml:space="preserve">CRITICAL Internal stockout </t>
  </si>
  <si>
    <t>VALUE</t>
  </si>
  <si>
    <t>HEALTHY</t>
  </si>
  <si>
    <t>NO 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</si>
</sst>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[$€-1]"/>
    <numFmt numFmtId="165" formatCode="_ * #,##0.00_)\ [$€-1]_ ;_ * \(#,##0.00\)\ [$€-1]_ ;_ * &quot;-&quot;??_)\ [$€-1]_ ;_ @_ "/>
    <numFmt numFmtId="166" formatCode="_-* #,##0.00\ [$€-1]_-;\-* #,##0.00\ [$€-1]_-;_-* &quot;-&quot;??\ [$€-1]_-;_-@_-"/>
    <numFmt numFmtId="167" formatCode="_-* #,##0.00\ [$€-1]_-;\-* #,##0.00\ [$€-1]_-;_-* &quot;-&quot;\ [$€-1]_-;_-@_-"/>
    <numFmt numFmtId="168" formatCode="&quot;$&quot;#,##0.00"/>
    <numFmt numFmtId="169" formatCode="0.00\ \x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0.499984740745262"/>
      <name val="Calibri"/>
      <charset val="1"/>
    </font>
    <font>
      <sz val="11"/>
      <color theme="6" tint="-0.249977111117893"/>
      <name val="Calibri"/>
      <family val="2"/>
      <scheme val="minor"/>
    </font>
    <font>
      <u/>
      <sz val="14"/>
      <color theme="1" tint="0.499984740745262"/>
      <name val="Calibri"/>
      <scheme val="minor"/>
    </font>
    <font>
      <u/>
      <sz val="14"/>
      <color theme="1" tint="0.499984740745262"/>
      <name val="Calibri"/>
      <family val="2"/>
      <scheme val="minor"/>
    </font>
    <font>
      <u/>
      <sz val="14"/>
      <color theme="1" tint="0.499984740745262"/>
      <name val="Calibri"/>
      <charset val="1"/>
    </font>
    <font>
      <sz val="18"/>
      <color theme="1"/>
      <name val="Calibri"/>
      <family val="2"/>
      <scheme val="minor"/>
    </font>
    <font>
      <sz val="24"/>
      <color theme="8" tint="0.39997558519241921"/>
      <name val="Franklin Gothic"/>
    </font>
    <font>
      <sz val="24"/>
      <color theme="1"/>
      <name val="Calibri"/>
      <family val="2"/>
      <scheme val="minor"/>
    </font>
    <font>
      <sz val="24"/>
      <color theme="1"/>
      <name val="Calibri"/>
      <scheme val="minor"/>
    </font>
    <font>
      <b/>
      <sz val="16"/>
      <color theme="1"/>
      <name val="Calibri"/>
      <family val="2"/>
      <scheme val="minor"/>
    </font>
    <font>
      <sz val="28"/>
      <color theme="4" tint="0.39997558519241921"/>
      <name val="Franklin Gothic"/>
    </font>
    <font>
      <b/>
      <sz val="26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8"/>
      <color theme="4" tint="0.39997558519241921"/>
      <name val="Franklin Gothic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6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9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6" fillId="0" borderId="0" xfId="0" applyFont="1"/>
    <xf numFmtId="164" fontId="16" fillId="0" borderId="0" xfId="0" applyNumberFormat="1" applyFont="1"/>
    <xf numFmtId="10" fontId="16" fillId="0" borderId="0" xfId="0" applyNumberFormat="1" applyFont="1"/>
    <xf numFmtId="1" fontId="16" fillId="0" borderId="0" xfId="0" applyNumberFormat="1" applyFont="1"/>
    <xf numFmtId="3" fontId="0" fillId="0" borderId="0" xfId="0" applyNumberFormat="1"/>
    <xf numFmtId="165" fontId="16" fillId="0" borderId="0" xfId="0" applyNumberFormat="1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Fill="1"/>
    <xf numFmtId="166" fontId="0" fillId="0" borderId="0" xfId="0" applyNumberFormat="1"/>
    <xf numFmtId="0" fontId="0" fillId="0" borderId="0" xfId="0" applyFill="1" applyBorder="1"/>
    <xf numFmtId="167" fontId="0" fillId="0" borderId="0" xfId="0" applyNumberFormat="1"/>
    <xf numFmtId="0" fontId="18" fillId="0" borderId="0" xfId="0" applyFont="1"/>
    <xf numFmtId="168" fontId="16" fillId="0" borderId="0" xfId="0" applyNumberFormat="1" applyFont="1"/>
    <xf numFmtId="3" fontId="16" fillId="0" borderId="0" xfId="0" applyNumberFormat="1" applyFont="1"/>
    <xf numFmtId="0" fontId="19" fillId="33" borderId="0" xfId="0" applyFont="1" applyFill="1"/>
    <xf numFmtId="0" fontId="19" fillId="0" borderId="0" xfId="0" applyFont="1"/>
    <xf numFmtId="169" fontId="0" fillId="0" borderId="0" xfId="0" applyNumberFormat="1"/>
    <xf numFmtId="0" fontId="19" fillId="0" borderId="10" xfId="0" applyFont="1" applyBorder="1"/>
    <xf numFmtId="0" fontId="20" fillId="0" borderId="0" xfId="0" applyFont="1" applyFill="1" applyBorder="1"/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Border="1"/>
    <xf numFmtId="0" fontId="0" fillId="0" borderId="0" xfId="0" pivotButton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4" fontId="25" fillId="0" borderId="0" xfId="0" applyNumberFormat="1" applyFont="1" applyFill="1" applyBorder="1" applyAlignment="1">
      <alignment horizontal="center" vertical="center"/>
    </xf>
    <xf numFmtId="0" fontId="0" fillId="34" borderId="11" xfId="0" applyFill="1" applyBorder="1"/>
    <xf numFmtId="0" fontId="0" fillId="34" borderId="12" xfId="0" applyFill="1" applyBorder="1"/>
    <xf numFmtId="0" fontId="0" fillId="34" borderId="13" xfId="0" applyFill="1" applyBorder="1"/>
    <xf numFmtId="0" fontId="0" fillId="34" borderId="14" xfId="0" applyFill="1" applyBorder="1"/>
    <xf numFmtId="0" fontId="0" fillId="34" borderId="0" xfId="0" applyFill="1" applyBorder="1"/>
    <xf numFmtId="0" fontId="0" fillId="34" borderId="15" xfId="0" applyFill="1" applyBorder="1"/>
    <xf numFmtId="0" fontId="0" fillId="0" borderId="15" xfId="0" applyFill="1" applyBorder="1"/>
    <xf numFmtId="1" fontId="0" fillId="0" borderId="0" xfId="0" applyNumberFormat="1" applyAlignment="1">
      <alignment wrapText="1"/>
    </xf>
    <xf numFmtId="0" fontId="29" fillId="34" borderId="0" xfId="0" applyFont="1" applyFill="1" applyBorder="1" applyAlignment="1">
      <alignment horizontal="center" vertical="center"/>
    </xf>
    <xf numFmtId="3" fontId="0" fillId="0" borderId="0" xfId="0" applyNumberFormat="1" applyBorder="1"/>
    <xf numFmtId="0" fontId="30" fillId="0" borderId="0" xfId="0" applyFont="1" applyBorder="1" applyAlignment="1">
      <alignment horizontal="center" vertical="center"/>
    </xf>
    <xf numFmtId="10" fontId="0" fillId="0" borderId="17" xfId="0" applyNumberFormat="1" applyBorder="1"/>
    <xf numFmtId="0" fontId="0" fillId="0" borderId="17" xfId="0" applyFill="1" applyBorder="1"/>
    <xf numFmtId="0" fontId="0" fillId="0" borderId="18" xfId="0" applyFill="1" applyBorder="1"/>
    <xf numFmtId="0" fontId="0" fillId="0" borderId="0" xfId="0" applyFill="1" applyBorder="1" applyAlignment="1">
      <alignment horizontal="center" vertical="center"/>
    </xf>
    <xf numFmtId="166" fontId="0" fillId="0" borderId="0" xfId="0" applyNumberFormat="1" applyFill="1" applyBorder="1"/>
    <xf numFmtId="0" fontId="0" fillId="34" borderId="16" xfId="0" applyFill="1" applyBorder="1"/>
    <xf numFmtId="0" fontId="0" fillId="34" borderId="17" xfId="0" applyFill="1" applyBorder="1"/>
    <xf numFmtId="0" fontId="0" fillId="34" borderId="18" xfId="0" applyFill="1" applyBorder="1"/>
    <xf numFmtId="0" fontId="0" fillId="0" borderId="0" xfId="0" applyFill="1" applyAlignment="1">
      <alignment horizontal="left"/>
    </xf>
    <xf numFmtId="166" fontId="0" fillId="0" borderId="0" xfId="0" applyNumberFormat="1" applyAlignment="1"/>
    <xf numFmtId="164" fontId="0" fillId="0" borderId="0" xfId="0" applyNumberFormat="1" applyFill="1"/>
    <xf numFmtId="0" fontId="30" fillId="0" borderId="0" xfId="0" applyFont="1" applyBorder="1" applyAlignment="1">
      <alignment horizontal="left" vertical="center"/>
    </xf>
    <xf numFmtId="168" fontId="16" fillId="0" borderId="0" xfId="0" applyNumberFormat="1" applyFont="1" applyBorder="1"/>
    <xf numFmtId="164" fontId="0" fillId="0" borderId="0" xfId="0" applyNumberFormat="1" applyBorder="1"/>
    <xf numFmtId="0" fontId="2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66" fontId="0" fillId="0" borderId="0" xfId="0" applyNumberFormat="1" applyBorder="1" applyAlignment="1"/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166" fontId="0" fillId="0" borderId="0" xfId="0" applyNumberFormat="1" applyFill="1" applyBorder="1" applyAlignment="1"/>
    <xf numFmtId="0" fontId="30" fillId="0" borderId="12" xfId="0" applyFont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166" fontId="0" fillId="0" borderId="0" xfId="0" applyNumberFormat="1" applyBorder="1" applyAlignment="1"/>
    <xf numFmtId="0" fontId="30" fillId="0" borderId="12" xfId="0" applyFont="1" applyBorder="1" applyAlignment="1">
      <alignment horizontal="center" vertical="center"/>
    </xf>
    <xf numFmtId="3" fontId="0" fillId="0" borderId="0" xfId="0" applyNumberFormat="1" applyBorder="1" applyAlignment="1"/>
    <xf numFmtId="0" fontId="0" fillId="0" borderId="0" xfId="0" applyBorder="1" applyAlignment="1"/>
    <xf numFmtId="0" fontId="0" fillId="0" borderId="17" xfId="0" applyFill="1" applyBorder="1" applyAlignment="1"/>
    <xf numFmtId="0" fontId="0" fillId="0" borderId="17" xfId="0" applyBorder="1" applyAlignment="1"/>
    <xf numFmtId="3" fontId="0" fillId="0" borderId="17" xfId="0" applyNumberFormat="1" applyBorder="1" applyAlignment="1"/>
    <xf numFmtId="166" fontId="0" fillId="0" borderId="17" xfId="0" applyNumberFormat="1" applyFill="1" applyBorder="1" applyAlignment="1"/>
    <xf numFmtId="0" fontId="0" fillId="0" borderId="19" xfId="0" applyBorder="1" applyAlignment="1"/>
    <xf numFmtId="166" fontId="0" fillId="0" borderId="17" xfId="0" applyNumberFormat="1" applyBorder="1" applyAlignment="1"/>
    <xf numFmtId="0" fontId="27" fillId="0" borderId="0" xfId="0" applyFont="1" applyBorder="1" applyAlignment="1">
      <alignment horizontal="center" vertical="center"/>
    </xf>
    <xf numFmtId="4" fontId="25" fillId="34" borderId="0" xfId="0" applyNumberFormat="1" applyFont="1" applyFill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3" fontId="26" fillId="34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0" fillId="34" borderId="19" xfId="0" applyFont="1" applyFill="1" applyBorder="1" applyAlignment="1">
      <alignment horizontal="left" vertical="center"/>
    </xf>
    <xf numFmtId="0" fontId="30" fillId="34" borderId="19" xfId="0" applyFont="1" applyFill="1" applyBorder="1" applyAlignment="1">
      <alignment horizontal="center" vertical="center"/>
    </xf>
    <xf numFmtId="0" fontId="30" fillId="34" borderId="19" xfId="0" applyFont="1" applyFill="1" applyBorder="1" applyAlignment="1">
      <alignment horizontal="center" vertical="center"/>
    </xf>
    <xf numFmtId="0" fontId="30" fillId="34" borderId="19" xfId="0" applyFont="1" applyFill="1" applyBorder="1" applyAlignment="1">
      <alignment vertical="center"/>
    </xf>
    <xf numFmtId="3" fontId="0" fillId="34" borderId="19" xfId="0" applyNumberFormat="1" applyFill="1" applyBorder="1" applyAlignment="1">
      <alignment vertical="center"/>
    </xf>
    <xf numFmtId="3" fontId="0" fillId="34" borderId="19" xfId="0" applyNumberFormat="1" applyFill="1" applyBorder="1" applyAlignment="1">
      <alignment vertical="center"/>
    </xf>
    <xf numFmtId="166" fontId="0" fillId="34" borderId="19" xfId="0" applyNumberFormat="1" applyFill="1" applyBorder="1" applyAlignment="1">
      <alignment vertical="center"/>
    </xf>
    <xf numFmtId="0" fontId="0" fillId="34" borderId="19" xfId="0" applyFill="1" applyBorder="1" applyAlignment="1">
      <alignment vertical="center"/>
    </xf>
    <xf numFmtId="0" fontId="27" fillId="34" borderId="0" xfId="0" applyFont="1" applyFill="1" applyBorder="1" applyAlignment="1">
      <alignment horizontal="center" vertical="center"/>
    </xf>
    <xf numFmtId="166" fontId="0" fillId="0" borderId="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0">
    <dxf>
      <numFmt numFmtId="3" formatCode="#,##0"/>
    </dxf>
    <dxf>
      <numFmt numFmtId="3" formatCode="#,##0"/>
    </dxf>
    <dxf>
      <numFmt numFmtId="167" formatCode="_-* #,##0.00\ [$€-1]_-;\-* #,##0.00\ [$€-1]_-;_-* &quot;-&quot;\ [$€-1]_-;_-@_-"/>
    </dxf>
    <dxf>
      <numFmt numFmtId="167" formatCode="_-* #,##0.00\ [$€-1]_-;\-* #,##0.00\ [$€-1]_-;_-* &quot;-&quot;\ [$€-1]_-;_-@_-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166" formatCode="_-* #,##0.00\ [$€-1]_-;\-* #,##0.00\ [$€-1]_-;_-* &quot;-&quot;??\ [$€-1]_-;_-@_-"/>
    </dxf>
    <dxf>
      <numFmt numFmtId="166" formatCode="_-* #,##0.00\ [$€-1]_-;\-* #,##0.00\ [$€-1]_-;_-* &quot;-&quot;??\ [$€-1]_-;_-@_-"/>
    </dxf>
    <dxf>
      <numFmt numFmtId="166" formatCode="_-* #,##0.00\ [$€-1]_-;\-* #,##0.00\ [$€-1]_-;_-* &quot;-&quot;??\ [$€-1]_-;_-@_-"/>
    </dxf>
    <dxf>
      <numFmt numFmtId="166" formatCode="_-* #,##0.00\ [$€-1]_-;\-* #,##0.00\ [$€-1]_-;_-* &quot;-&quot;??\ [$€-1]_-;_-@_-"/>
    </dxf>
    <dxf>
      <numFmt numFmtId="166" formatCode="_-* #,##0.00\ [$€-1]_-;\-* #,##0.00\ [$€-1]_-;_-* &quot;-&quot;??\ [$€-1]_-;_-@_-"/>
    </dxf>
    <dxf>
      <numFmt numFmtId="164" formatCode="#,##0.00\ [$€-1]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249977111117893"/>
        <name val="Calibri"/>
        <family val="2"/>
        <scheme val="minor"/>
      </font>
    </dxf>
    <dxf>
      <numFmt numFmtId="1" formatCode="0"/>
    </dxf>
    <dxf>
      <numFmt numFmtId="169" formatCode="0.00\ \x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249977111117893"/>
        <name val="Calibri"/>
        <family val="2"/>
        <scheme val="minor"/>
      </font>
    </dxf>
    <dxf>
      <numFmt numFmtId="166" formatCode="_-* #,##0.00\ [$€-1]_-;\-* #,##0.00\ [$€-1]_-;_-* &quot;-&quot;??\ [$€-1]_-;_-@_-"/>
    </dxf>
    <dxf>
      <numFmt numFmtId="166" formatCode="_-* #,##0.00\ [$€-1]_-;\-* #,##0.00\ [$€-1]_-;_-* &quot;-&quot;??\ [$€-1]_-;_-@_-"/>
    </dxf>
    <dxf>
      <numFmt numFmtId="3" formatCode="#,##0"/>
    </dxf>
    <dxf>
      <numFmt numFmtId="3" formatCode="#,##0"/>
    </dxf>
    <dxf>
      <numFmt numFmtId="164" formatCode="#,##0.00\ [$€-1]"/>
    </dxf>
    <dxf>
      <numFmt numFmtId="166" formatCode="_-* #,##0.00\ [$€-1]_-;\-* #,##0.00\ [$€-1]_-;_-* &quot;-&quot;??\ [$€-1]_-;_-@_-"/>
    </dxf>
    <dxf>
      <numFmt numFmtId="3" formatCode="#,##0"/>
    </dxf>
    <dxf>
      <numFmt numFmtId="3" formatCode="#,##0"/>
    </dxf>
    <dxf>
      <numFmt numFmtId="0" formatCode="General"/>
    </dxf>
    <dxf>
      <numFmt numFmtId="164" formatCode="#,##0.00\ [$€-1]"/>
    </dxf>
    <dxf>
      <numFmt numFmtId="164" formatCode="#,##0.00\ [$€-1]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_-* #,##0.00\ [$€-1]_-;\-* #,##0.00\ [$€-1]_-;_-* &quot;-&quot;??\ [$€-1]_-;_-@_-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64" formatCode="#,##0.00\ [$€-1]"/>
    </dxf>
    <dxf>
      <numFmt numFmtId="166" formatCode="_-* #,##0.00\ [$€-1]_-;\-* #,##0.00\ [$€-1]_-;_-* &quot;-&quot;??\ [$€-1]_-;_-@_-"/>
    </dxf>
    <dxf>
      <numFmt numFmtId="0" formatCode="General"/>
    </dxf>
    <dxf>
      <numFmt numFmtId="3" formatCode="#,##0"/>
    </dxf>
    <dxf>
      <numFmt numFmtId="165" formatCode="_ * #,##0.00_)\ [$€-1]_ ;_ * \(#,##0.00\)\ [$€-1]_ ;_ * &quot;-&quot;??_)\ [$€-1]_ ;_ @_ "/>
    </dxf>
    <dxf>
      <numFmt numFmtId="166" formatCode="_-* #,##0.00\ [$€-1]_-;\-* #,##0.00\ [$€-1]_-;_-* &quot;-&quot;??\ [$€-1]_-;_-@_-"/>
    </dxf>
    <dxf>
      <numFmt numFmtId="3" formatCode="#,##0"/>
    </dxf>
    <dxf>
      <numFmt numFmtId="3" formatCode="#,##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numFmt numFmtId="14" formatCode="0.00%"/>
    </dxf>
    <dxf>
      <numFmt numFmtId="14" formatCode="0.00%"/>
    </dxf>
    <dxf>
      <numFmt numFmtId="164" formatCode="#,##0.00\ [$€-1]"/>
    </dxf>
    <dxf>
      <numFmt numFmtId="164" formatCode="#,##0.00\ [$€-1]"/>
    </dxf>
    <dxf>
      <numFmt numFmtId="164" formatCode="#,##0.00\ [$€-1]"/>
    </dxf>
    <dxf>
      <numFmt numFmtId="166" formatCode="_-* #,##0.00\ [$€-1]_-;\-* #,##0.00\ [$€-1]_-;_-* &quot;-&quot;??\ [$€-1]_-;_-@_-"/>
    </dxf>
    <dxf>
      <numFmt numFmtId="164" formatCode="#,##0.00\ [$€-1]"/>
    </dxf>
    <dxf>
      <numFmt numFmtId="167" formatCode="_-* #,##0.00\ [$€-1]_-;\-* #,##0.00\ [$€-1]_-;_-* &quot;-&quot;\ [$€-1]_-;_-@_-"/>
    </dxf>
    <dxf>
      <numFmt numFmtId="3" formatCode="#,##0"/>
    </dxf>
    <dxf>
      <numFmt numFmtId="3" formatCode="#,##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&quot;$&quot;#,##0.00"/>
    </dxf>
    <dxf>
      <numFmt numFmtId="1" formatCode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</dxf>
    <dxf>
      <fill>
        <patternFill patternType="none">
          <fgColor indexed="64"/>
          <bgColor indexed="65"/>
        </patternFill>
      </fill>
    </dxf>
    <dxf>
      <numFmt numFmtId="164" formatCode="#,##0.00\ [$€-1]"/>
    </dxf>
    <dxf>
      <fill>
        <patternFill patternType="none">
          <fgColor indexed="64"/>
          <bgColor indexed="65"/>
        </patternFill>
      </fill>
    </dxf>
    <dxf>
      <numFmt numFmtId="164" formatCode="#,##0.00\ [$€-1]"/>
    </dxf>
    <dxf>
      <fill>
        <patternFill patternType="none">
          <fgColor indexed="64"/>
          <bgColor indexed="65"/>
        </patternFill>
      </fill>
    </dxf>
    <dxf>
      <numFmt numFmtId="164" formatCode="#,##0.00\ [$€-1]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E8D2CA"/>
          <bgColor indexed="65"/>
        </patternFill>
      </fill>
    </dxf>
    <dxf>
      <font>
        <color theme="2" tint="-0.499984740745262"/>
      </font>
      <fill>
        <patternFill patternType="solid">
          <bgColor rgb="FFE8D2CA"/>
        </patternFill>
      </fill>
    </dxf>
    <dxf>
      <font>
        <color theme="2" tint="-0.499984740745262"/>
      </font>
      <fill>
        <patternFill patternType="solid">
          <bgColor theme="7" tint="0.79998168889431442"/>
        </patternFill>
      </fill>
    </dxf>
    <dxf>
      <font>
        <color theme="2" tint="-0.499984740745262"/>
      </font>
      <fill>
        <patternFill patternType="solid">
          <bgColor rgb="FFE8D2CA"/>
        </patternFill>
      </fill>
    </dxf>
    <dxf>
      <font>
        <color theme="2" tint="-0.499984740745262"/>
      </font>
      <fill>
        <patternFill patternType="solid">
          <bgColor theme="7" tint="0.79998168889431442"/>
        </patternFill>
      </fill>
    </dxf>
    <dxf>
      <fill>
        <patternFill patternType="solid">
          <bgColor rgb="FFE8D2CA"/>
        </patternFill>
      </fill>
    </dxf>
    <dxf>
      <font>
        <color theme="2" tint="-0.499984740745262"/>
      </font>
      <fill>
        <patternFill patternType="solid">
          <bgColor rgb="FFE8D2CA"/>
        </patternFill>
      </fill>
    </dxf>
  </dxfs>
  <tableStyles count="0" defaultTableStyle="TableStyleMedium2" defaultPivotStyle="PivotStyleLight16"/>
  <colors>
    <mruColors>
      <color rgb="FFE8D2CA"/>
      <color rgb="FFE1EFF7"/>
      <color rgb="FFDBFACF"/>
      <color rgb="FFE8FACF"/>
      <color rgb="FFD8FACF"/>
      <color rgb="FFCCF7C1"/>
      <color rgb="FFF0C9C9"/>
      <color rgb="FFEBC7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[Operational_Inventory_&amp;_Supplier_Analysis.xlsx]PivotData!PivotTable1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in Stock: Internal vs. Supplier by Category</a:t>
            </a:r>
          </a:p>
        </c:rich>
      </c:tx>
      <c:layout>
        <c:manualLayout>
          <c:xMode val="edge"/>
          <c:yMode val="edge"/>
          <c:x val="1.1601934424146271E-2"/>
          <c:y val="2.3400719639428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PivotData!$B$3</c:f>
              <c:strCache>
                <c:ptCount val="1"/>
                <c:pt idx="0">
                  <c:v>Sum of Internal Stock Units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cat>
            <c:strRef>
              <c:f>PivotData!$A$4:$A$14</c:f>
              <c:strCache>
                <c:ptCount val="10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</c:v>
                </c:pt>
                <c:pt idx="5">
                  <c:v>Kitchen</c:v>
                </c:pt>
                <c:pt idx="6">
                  <c:v>Sports</c:v>
                </c:pt>
                <c:pt idx="7">
                  <c:v>Toys</c:v>
                </c:pt>
                <c:pt idx="8">
                  <c:v>Unknown</c:v>
                </c:pt>
                <c:pt idx="9">
                  <c:v>(Blanks)</c:v>
                </c:pt>
              </c:strCache>
            </c:strRef>
          </c:cat>
          <c:val>
            <c:numRef>
              <c:f>PivotData!$B$4:$B$14</c:f>
              <c:numCache>
                <c:formatCode>#,##0</c:formatCode>
                <c:ptCount val="10"/>
                <c:pt idx="0">
                  <c:v>2495</c:v>
                </c:pt>
                <c:pt idx="1">
                  <c:v>2906</c:v>
                </c:pt>
                <c:pt idx="2">
                  <c:v>3435</c:v>
                </c:pt>
                <c:pt idx="3">
                  <c:v>3165</c:v>
                </c:pt>
                <c:pt idx="4">
                  <c:v>3901</c:v>
                </c:pt>
                <c:pt idx="5">
                  <c:v>3492</c:v>
                </c:pt>
                <c:pt idx="6">
                  <c:v>2621</c:v>
                </c:pt>
                <c:pt idx="7">
                  <c:v>3082</c:v>
                </c:pt>
                <c:pt idx="8">
                  <c:v>341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D-43D0-97B3-47BA8C2F39CB}"/>
            </c:ext>
          </c:extLst>
        </c:ser>
        <c:ser>
          <c:idx val="1"/>
          <c:order val="1"/>
          <c:tx>
            <c:strRef>
              <c:f>PivotData!$C$3</c:f>
              <c:strCache>
                <c:ptCount val="1"/>
                <c:pt idx="0">
                  <c:v>Sum of Supplier Stock Units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cat>
            <c:strRef>
              <c:f>PivotData!$A$4:$A$14</c:f>
              <c:strCache>
                <c:ptCount val="10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</c:v>
                </c:pt>
                <c:pt idx="5">
                  <c:v>Kitchen</c:v>
                </c:pt>
                <c:pt idx="6">
                  <c:v>Sports</c:v>
                </c:pt>
                <c:pt idx="7">
                  <c:v>Toys</c:v>
                </c:pt>
                <c:pt idx="8">
                  <c:v>Unknown</c:v>
                </c:pt>
                <c:pt idx="9">
                  <c:v>(Blanks)</c:v>
                </c:pt>
              </c:strCache>
            </c:strRef>
          </c:cat>
          <c:val>
            <c:numRef>
              <c:f>PivotData!$C$4:$C$14</c:f>
              <c:numCache>
                <c:formatCode>#,##0</c:formatCode>
                <c:ptCount val="10"/>
                <c:pt idx="0">
                  <c:v>12766</c:v>
                </c:pt>
                <c:pt idx="1">
                  <c:v>13656</c:v>
                </c:pt>
                <c:pt idx="2">
                  <c:v>14551</c:v>
                </c:pt>
                <c:pt idx="3">
                  <c:v>15563</c:v>
                </c:pt>
                <c:pt idx="4">
                  <c:v>17695</c:v>
                </c:pt>
                <c:pt idx="5">
                  <c:v>17086</c:v>
                </c:pt>
                <c:pt idx="6">
                  <c:v>11837</c:v>
                </c:pt>
                <c:pt idx="7">
                  <c:v>16187</c:v>
                </c:pt>
                <c:pt idx="8">
                  <c:v>1443</c:v>
                </c:pt>
                <c:pt idx="9">
                  <c:v>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3D-43D0-97B3-47BA8C2F3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2039288840"/>
        <c:axId val="2039290888"/>
      </c:barChart>
      <c:catAx>
        <c:axId val="2039288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290888"/>
        <c:crosses val="autoZero"/>
        <c:auto val="1"/>
        <c:lblAlgn val="ctr"/>
        <c:lblOffset val="100"/>
        <c:noMultiLvlLbl val="0"/>
      </c:catAx>
      <c:valAx>
        <c:axId val="2039290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solidFill>
            <a:srgbClr val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288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[Operational_Inventory_&amp;_Supplier_Analysis.xlsx]PivotData!PivotTable2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Catalog Margin Health Audit</a:t>
            </a:r>
          </a:p>
        </c:rich>
      </c:tx>
      <c:layout>
        <c:manualLayout>
          <c:xMode val="edge"/>
          <c:yMode val="edge"/>
          <c:x val="0.24738009232359268"/>
          <c:y val="1.26704708064867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4C6E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591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0213165186277035"/>
              <c:y val="-3.8030985796061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2740834603172619"/>
              <c:y val="-3.32602672207262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4C6E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0536186711575895E-2"/>
              <c:y val="-0.155233998969472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PivotData!$F$3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4C6E7"/>
            </a:solidFill>
          </c:spPr>
          <c:dPt>
            <c:idx val="0"/>
            <c:bubble3D val="0"/>
            <c:spPr>
              <a:solidFill>
                <a:srgbClr val="B4C6E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11FE-4426-8E45-D2DA155FB9CF}"/>
              </c:ext>
            </c:extLst>
          </c:dPt>
          <c:dPt>
            <c:idx val="1"/>
            <c:bubble3D val="0"/>
            <c:spPr>
              <a:solidFill>
                <a:srgbClr val="C6591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52-488B-B3F9-06AC397A2A5B}"/>
              </c:ext>
            </c:extLst>
          </c:dPt>
          <c:dPt>
            <c:idx val="2"/>
            <c:bubble3D val="0"/>
            <c:spPr>
              <a:solidFill>
                <a:srgbClr val="F4B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FE-4426-8E45-D2DA155FB9CF}"/>
              </c:ext>
            </c:extLst>
          </c:dPt>
          <c:dLbls>
            <c:dLbl>
              <c:idx val="0"/>
              <c:layout>
                <c:manualLayout>
                  <c:x val="-1.0536186711575895E-2"/>
                  <c:y val="-0.1552339989694727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FE-4426-8E45-D2DA155FB9CF}"/>
                </c:ext>
              </c:extLst>
            </c:dLbl>
            <c:dLbl>
              <c:idx val="1"/>
              <c:layout>
                <c:manualLayout>
                  <c:x val="-0.20213165186277035"/>
                  <c:y val="-3.80309857960613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52-488B-B3F9-06AC397A2A5B}"/>
                </c:ext>
              </c:extLst>
            </c:dLbl>
            <c:dLbl>
              <c:idx val="2"/>
              <c:layout>
                <c:manualLayout>
                  <c:x val="0.22740834603172619"/>
                  <c:y val="-3.326026722072621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FE-4426-8E45-D2DA155FB9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PivotData!$E$4:$E$7</c:f>
              <c:strCache>
                <c:ptCount val="3"/>
                <c:pt idx="0">
                  <c:v>MARGIN OK</c:v>
                </c:pt>
                <c:pt idx="1">
                  <c:v>CRITICAL Negative margin</c:v>
                </c:pt>
                <c:pt idx="2">
                  <c:v>N/A Missing price data</c:v>
                </c:pt>
              </c:strCache>
            </c:strRef>
          </c:cat>
          <c:val>
            <c:numRef>
              <c:f>PivotData!$F$4:$F$7</c:f>
              <c:numCache>
                <c:formatCode>#,##0.00\ [$€-1]</c:formatCode>
                <c:ptCount val="3"/>
                <c:pt idx="0">
                  <c:v>4508588.0400000028</c:v>
                </c:pt>
                <c:pt idx="1">
                  <c:v>-16897.990000000005</c:v>
                </c:pt>
                <c:pt idx="2">
                  <c:v>-78516.159999999989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8-4811-888B-8EE6A96BD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9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[Operational_Inventory_&amp;_Supplier_Analysis.xlsx]PivotData!PivotTable3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Meeting Reordering Requirements</a:t>
            </a:r>
          </a:p>
        </c:rich>
      </c:tx>
      <c:layout>
        <c:manualLayout>
          <c:xMode val="edge"/>
          <c:yMode val="edge"/>
          <c:x val="0.13027668461842262"/>
          <c:y val="3.235033389516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PivotData!$F$10</c:f>
              <c:strCache>
                <c:ptCount val="1"/>
                <c:pt idx="0">
                  <c:v>Sum of Theoretical Reorder Need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cat>
            <c:strRef>
              <c:f>PivotData!$E$11:$E$13</c:f>
              <c:strCache>
                <c:ptCount val="2"/>
                <c:pt idx="0">
                  <c:v>Full Coverage</c:v>
                </c:pt>
                <c:pt idx="1">
                  <c:v>Partial Coverage</c:v>
                </c:pt>
              </c:strCache>
            </c:strRef>
          </c:cat>
          <c:val>
            <c:numRef>
              <c:f>PivotData!$F$11:$F$13</c:f>
              <c:numCache>
                <c:formatCode>#,##0</c:formatCode>
                <c:ptCount val="2"/>
                <c:pt idx="0">
                  <c:v>5679</c:v>
                </c:pt>
                <c:pt idx="1">
                  <c:v>1988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D-4951-8D6A-30D0F2A6554A}"/>
            </c:ext>
          </c:extLst>
        </c:ser>
        <c:ser>
          <c:idx val="1"/>
          <c:order val="1"/>
          <c:tx>
            <c:strRef>
              <c:f>PivotData!$G$10</c:f>
              <c:strCache>
                <c:ptCount val="1"/>
                <c:pt idx="0">
                  <c:v>Sum of Fulfillable Units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cat>
            <c:strRef>
              <c:f>PivotData!$E$11:$E$13</c:f>
              <c:strCache>
                <c:ptCount val="2"/>
                <c:pt idx="0">
                  <c:v>Full Coverage</c:v>
                </c:pt>
                <c:pt idx="1">
                  <c:v>Partial Coverage</c:v>
                </c:pt>
              </c:strCache>
            </c:strRef>
          </c:cat>
          <c:val>
            <c:numRef>
              <c:f>PivotData!$G$11:$G$13</c:f>
              <c:numCache>
                <c:formatCode>#,##0</c:formatCode>
                <c:ptCount val="2"/>
                <c:pt idx="0">
                  <c:v>5679</c:v>
                </c:pt>
                <c:pt idx="1">
                  <c:v>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8D-4951-8D6A-30D0F2A65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0"/>
        <c:axId val="2119442952"/>
        <c:axId val="2119445512"/>
      </c:barChart>
      <c:catAx>
        <c:axId val="211944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45512"/>
        <c:crosses val="autoZero"/>
        <c:auto val="1"/>
        <c:lblAlgn val="ctr"/>
        <c:lblOffset val="100"/>
        <c:noMultiLvlLbl val="0"/>
      </c:catAx>
      <c:valAx>
        <c:axId val="2119445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42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[Operational_Inventory_&amp;_Supplier_Analysis.xlsx]PivotData!PivotTable5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Internal Stock Value by Category</a:t>
            </a:r>
          </a:p>
        </c:rich>
      </c:tx>
      <c:layout>
        <c:manualLayout>
          <c:xMode val="edge"/>
          <c:yMode val="edge"/>
          <c:x val="1.4550559878130963E-2"/>
          <c:y val="2.4932265863185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05496"/>
          </a:solidFill>
          <a:ln>
            <a:noFill/>
          </a:ln>
          <a:effectLst/>
        </c:spPr>
      </c:pivotFmt>
      <c:pivotFmt>
        <c:idx val="5"/>
        <c:spPr>
          <a:solidFill>
            <a:srgbClr val="8EA9DB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8EA9DB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8EA9DB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8EA9DB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8EA9DB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8EA9DB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8EA9DB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8EA9DB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8EA9DB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PivotData!$B$17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EA9D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920-438C-BA35-C376D440B0F6}"/>
              </c:ext>
            </c:extLst>
          </c:dPt>
          <c:dPt>
            <c:idx val="1"/>
            <c:invertIfNegative val="0"/>
            <c:bubble3D val="0"/>
            <c:spPr>
              <a:solidFill>
                <a:srgbClr val="8EA9D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20-438C-BA35-C376D440B0F6}"/>
              </c:ext>
            </c:extLst>
          </c:dPt>
          <c:dPt>
            <c:idx val="2"/>
            <c:invertIfNegative val="0"/>
            <c:bubble3D val="0"/>
            <c:spPr>
              <a:solidFill>
                <a:srgbClr val="8EA9D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920-438C-BA35-C376D440B0F6}"/>
              </c:ext>
            </c:extLst>
          </c:dPt>
          <c:dPt>
            <c:idx val="3"/>
            <c:invertIfNegative val="0"/>
            <c:bubble3D val="0"/>
            <c:spPr>
              <a:solidFill>
                <a:srgbClr val="30549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AA-4089-9D23-3E77D6A220EE}"/>
              </c:ext>
            </c:extLst>
          </c:dPt>
          <c:dPt>
            <c:idx val="4"/>
            <c:invertIfNegative val="0"/>
            <c:bubble3D val="0"/>
            <c:spPr>
              <a:solidFill>
                <a:srgbClr val="8EA9D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20-438C-BA35-C376D440B0F6}"/>
              </c:ext>
            </c:extLst>
          </c:dPt>
          <c:dPt>
            <c:idx val="5"/>
            <c:invertIfNegative val="0"/>
            <c:bubble3D val="0"/>
            <c:spPr>
              <a:solidFill>
                <a:srgbClr val="8EA9D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920-438C-BA35-C376D440B0F6}"/>
              </c:ext>
            </c:extLst>
          </c:dPt>
          <c:dPt>
            <c:idx val="6"/>
            <c:invertIfNegative val="0"/>
            <c:bubble3D val="0"/>
            <c:spPr>
              <a:solidFill>
                <a:srgbClr val="8EA9D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920-438C-BA35-C376D440B0F6}"/>
              </c:ext>
            </c:extLst>
          </c:dPt>
          <c:dPt>
            <c:idx val="7"/>
            <c:invertIfNegative val="0"/>
            <c:bubble3D val="0"/>
            <c:spPr>
              <a:solidFill>
                <a:srgbClr val="8EA9D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920-438C-BA35-C376D440B0F6}"/>
              </c:ext>
            </c:extLst>
          </c:dPt>
          <c:dPt>
            <c:idx val="8"/>
            <c:invertIfNegative val="0"/>
            <c:bubble3D val="0"/>
            <c:spPr>
              <a:solidFill>
                <a:srgbClr val="8EA9D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633-4AEE-B4D9-23FF902C4BB2}"/>
              </c:ext>
            </c:extLst>
          </c:dPt>
          <c:dPt>
            <c:idx val="9"/>
            <c:invertIfNegative val="0"/>
            <c:bubble3D val="0"/>
            <c:spPr>
              <a:solidFill>
                <a:srgbClr val="8EA9D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33-4AEE-B4D9-23FF902C4BB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920-438C-BA35-C376D440B0F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20-438C-BA35-C376D440B0F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20-438C-BA35-C376D440B0F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20-438C-BA35-C376D440B0F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20-438C-BA35-C376D440B0F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20-438C-BA35-C376D440B0F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20-438C-BA35-C376D440B0F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33-4AEE-B4D9-23FF902C4BB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33-4AEE-B4D9-23FF902C4B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PivotData!$A$18:$A$28</c:f>
              <c:strCache>
                <c:ptCount val="10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</c:v>
                </c:pt>
                <c:pt idx="5">
                  <c:v>Kitchen</c:v>
                </c:pt>
                <c:pt idx="6">
                  <c:v>Sports</c:v>
                </c:pt>
                <c:pt idx="7">
                  <c:v>Toys</c:v>
                </c:pt>
                <c:pt idx="8">
                  <c:v>Unknown</c:v>
                </c:pt>
                <c:pt idx="9">
                  <c:v>(Blanks)</c:v>
                </c:pt>
              </c:strCache>
            </c:strRef>
          </c:cat>
          <c:val>
            <c:numRef>
              <c:f>PivotData!$B$18:$B$28</c:f>
              <c:numCache>
                <c:formatCode>#,##0.00\ [$€-1]</c:formatCode>
                <c:ptCount val="10"/>
                <c:pt idx="0">
                  <c:v>113315.17000000001</c:v>
                </c:pt>
                <c:pt idx="1">
                  <c:v>37003.289999999994</c:v>
                </c:pt>
                <c:pt idx="2">
                  <c:v>122334.87999999999</c:v>
                </c:pt>
                <c:pt idx="3">
                  <c:v>358841.80000000016</c:v>
                </c:pt>
                <c:pt idx="4">
                  <c:v>94309.85000000002</c:v>
                </c:pt>
                <c:pt idx="5">
                  <c:v>114336.84999999996</c:v>
                </c:pt>
                <c:pt idx="6">
                  <c:v>69474.600000000006</c:v>
                </c:pt>
                <c:pt idx="7">
                  <c:v>69226.829999999987</c:v>
                </c:pt>
                <c:pt idx="8">
                  <c:v>6497.59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A-4089-9D23-3E77D6A220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6"/>
        <c:axId val="141748743"/>
        <c:axId val="141898759"/>
      </c:barChart>
      <c:catAx>
        <c:axId val="141748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98759"/>
        <c:crosses val="autoZero"/>
        <c:auto val="1"/>
        <c:lblAlgn val="ctr"/>
        <c:lblOffset val="100"/>
        <c:noMultiLvlLbl val="0"/>
      </c:catAx>
      <c:valAx>
        <c:axId val="141898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#,##0.00\ [$€-1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48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[Operational_Inventory_&amp;_Supplier_Analysis.xlsx]PivotData!PivotTable6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Internal Availability Distribution</a:t>
            </a:r>
          </a:p>
        </c:rich>
      </c:tx>
      <c:layout>
        <c:manualLayout>
          <c:xMode val="edge"/>
          <c:yMode val="edge"/>
          <c:x val="0.23442343285316786"/>
          <c:y val="4.771690564890125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4C6E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056575793203277"/>
              <c:y val="-7.69034364911132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6591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4785325781727535"/>
              <c:y val="-1.24363746293940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4C6E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8794472879466643E-2"/>
              <c:y val="-0.1443488327664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PivotData!$F$17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4C6E7"/>
            </a:solidFill>
          </c:spPr>
          <c:dPt>
            <c:idx val="0"/>
            <c:bubble3D val="0"/>
            <c:spPr>
              <a:solidFill>
                <a:srgbClr val="B4C6E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574-48C6-8F53-7DD1B65F2105}"/>
              </c:ext>
            </c:extLst>
          </c:dPt>
          <c:dPt>
            <c:idx val="1"/>
            <c:bubble3D val="0"/>
            <c:spPr>
              <a:solidFill>
                <a:srgbClr val="F4B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8C-467F-BE46-B2DE590635D3}"/>
              </c:ext>
            </c:extLst>
          </c:dPt>
          <c:dPt>
            <c:idx val="2"/>
            <c:bubble3D val="0"/>
            <c:spPr>
              <a:solidFill>
                <a:srgbClr val="C6591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74-48C6-8F53-7DD1B65F2105}"/>
              </c:ext>
            </c:extLst>
          </c:dPt>
          <c:dLbls>
            <c:dLbl>
              <c:idx val="0"/>
              <c:layout>
                <c:manualLayout>
                  <c:x val="-7.8794472879466643E-2"/>
                  <c:y val="-0.1443488327664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74-48C6-8F53-7DD1B65F2105}"/>
                </c:ext>
              </c:extLst>
            </c:dLbl>
            <c:dLbl>
              <c:idx val="1"/>
              <c:layout>
                <c:manualLayout>
                  <c:x val="-0.14056575793203277"/>
                  <c:y val="-7.69034364911132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8C-467F-BE46-B2DE590635D3}"/>
                </c:ext>
              </c:extLst>
            </c:dLbl>
            <c:dLbl>
              <c:idx val="2"/>
              <c:layout>
                <c:manualLayout>
                  <c:x val="0.24785325781727535"/>
                  <c:y val="-1.2436374629394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74-48C6-8F53-7DD1B65F21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PivotData!$E$18:$E$21</c:f>
              <c:strCache>
                <c:ptCount val="3"/>
                <c:pt idx="0">
                  <c:v>HEALTHY AVAILABILITY</c:v>
                </c:pt>
                <c:pt idx="1">
                  <c:v>WARNING Below reorder point </c:v>
                </c:pt>
                <c:pt idx="2">
                  <c:v>CRITICAL Internal stockout </c:v>
                </c:pt>
              </c:strCache>
            </c:strRef>
          </c:cat>
          <c:val>
            <c:numRef>
              <c:f>PivotData!$F$18:$F$21</c:f>
              <c:numCache>
                <c:formatCode>0</c:formatCode>
                <c:ptCount val="3"/>
                <c:pt idx="0">
                  <c:v>423</c:v>
                </c:pt>
                <c:pt idx="1">
                  <c:v>70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4-48C6-8F53-7DD1B65F21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9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Operational Health Audit</a:t>
            </a:r>
          </a:p>
        </c:rich>
      </c:tx>
      <c:layout>
        <c:manualLayout>
          <c:xMode val="edge"/>
          <c:yMode val="edge"/>
          <c:x val="0.28457784069652609"/>
          <c:y val="5.1357742830228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PivotData!$E$25</c:f>
              <c:strCache>
                <c:ptCount val="1"/>
                <c:pt idx="0">
                  <c:v>SKU Count</c:v>
                </c:pt>
              </c:strCache>
            </c:strRef>
          </c:tx>
          <c:dPt>
            <c:idx val="0"/>
            <c:bubble3D val="0"/>
            <c:spPr>
              <a:solidFill>
                <a:srgbClr val="8EA9D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6A0-418D-8242-1E69890F9652}"/>
              </c:ext>
            </c:extLst>
          </c:dPt>
          <c:dPt>
            <c:idx val="1"/>
            <c:bubble3D val="0"/>
            <c:spPr>
              <a:solidFill>
                <a:srgbClr val="C6591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6A0-418D-8242-1E69890F9652}"/>
              </c:ext>
            </c:extLst>
          </c:dPt>
          <c:dLbls>
            <c:dLbl>
              <c:idx val="0"/>
              <c:layout>
                <c:manualLayout>
                  <c:x val="0.22323975394341578"/>
                  <c:y val="-0.1330947278351782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6A0-418D-8242-1E69890F9652}"/>
                </c:ext>
              </c:extLst>
            </c:dLbl>
            <c:dLbl>
              <c:idx val="1"/>
              <c:layout>
                <c:manualLayout>
                  <c:x val="-0.23069790162147394"/>
                  <c:y val="0.1182131065130581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6A0-418D-8242-1E69890F96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PivotData!$F$24:$G$24</c:f>
              <c:strCache>
                <c:ptCount val="2"/>
                <c:pt idx="0">
                  <c:v>HEALTHY</c:v>
                </c:pt>
                <c:pt idx="1">
                  <c:v>NO HEALTHY</c:v>
                </c:pt>
              </c:strCache>
            </c:strRef>
          </c:cat>
          <c:val>
            <c:numRef>
              <c:f>PivotData!$F$25:$G$25</c:f>
              <c:numCache>
                <c:formatCode>#,##0</c:formatCode>
                <c:ptCount val="2"/>
                <c:pt idx="0">
                  <c:v>368</c:v>
                </c:pt>
                <c:pt idx="1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A0-418D-8242-1E69890F9652}"/>
            </c:ext>
          </c:extLst>
        </c:ser>
        <c:ser>
          <c:idx val="1"/>
          <c:order val="1"/>
          <c:tx>
            <c:strRef>
              <c:f>PivotData!$E$26</c:f>
              <c:strCache>
                <c:ptCount val="1"/>
                <c:pt idx="0">
                  <c:v>Internal Stock Units</c:v>
                </c:pt>
              </c:strCache>
            </c:strRef>
          </c:tx>
          <c:dPt>
            <c:idx val="0"/>
            <c:bubble3D val="0"/>
            <c:spPr>
              <a:solidFill>
                <a:srgbClr val="B4C6E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68-49FB-8BDA-0B984E454D1D}"/>
              </c:ext>
            </c:extLst>
          </c:dPt>
          <c:dPt>
            <c:idx val="1"/>
            <c:bubble3D val="0"/>
            <c:spPr>
              <a:solidFill>
                <a:srgbClr val="F4B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E3E3-46CA-8140-BB69642E3946}"/>
              </c:ext>
            </c:extLst>
          </c:dPt>
          <c:dLbls>
            <c:delete val="1"/>
          </c:dLbls>
          <c:cat>
            <c:strRef>
              <c:f>PivotData!$F$24:$G$24</c:f>
              <c:strCache>
                <c:ptCount val="2"/>
                <c:pt idx="0">
                  <c:v>HEALTHY</c:v>
                </c:pt>
                <c:pt idx="1">
                  <c:v>NO HEALTHY</c:v>
                </c:pt>
              </c:strCache>
            </c:strRef>
          </c:cat>
          <c:val>
            <c:numRef>
              <c:f>PivotData!$F$26:$G$26</c:f>
              <c:numCache>
                <c:formatCode>#,##0</c:formatCode>
                <c:ptCount val="2"/>
                <c:pt idx="0">
                  <c:v>23079</c:v>
                </c:pt>
                <c:pt idx="1">
                  <c:v>2359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6A0-418D-8242-1E69890F9652}"/>
            </c:ext>
          </c:extLst>
        </c:ser>
        <c:ser>
          <c:idx val="2"/>
          <c:order val="2"/>
          <c:tx>
            <c:strRef>
              <c:f>PivotData!$E$27</c:f>
              <c:strCache>
                <c:ptCount val="1"/>
                <c:pt idx="0">
                  <c:v>Internal Stock Value (€)</c:v>
                </c:pt>
              </c:strCache>
            </c:strRef>
          </c:tx>
          <c:dPt>
            <c:idx val="0"/>
            <c:bubble3D val="0"/>
            <c:spPr>
              <a:solidFill>
                <a:srgbClr val="B4C6E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478F-43FC-98C4-9DB071BDC1FD}"/>
              </c:ext>
            </c:extLst>
          </c:dPt>
          <c:dPt>
            <c:idx val="1"/>
            <c:bubble3D val="0"/>
            <c:spPr>
              <a:solidFill>
                <a:srgbClr val="F4B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5068-49FB-8BDA-0B984E454D1D}"/>
              </c:ext>
            </c:extLst>
          </c:dPt>
          <c:dLbls>
            <c:delete val="1"/>
          </c:dLbls>
          <c:cat>
            <c:strRef>
              <c:f>PivotData!$F$24:$G$24</c:f>
              <c:strCache>
                <c:ptCount val="2"/>
                <c:pt idx="0">
                  <c:v>HEALTHY</c:v>
                </c:pt>
                <c:pt idx="1">
                  <c:v>NO HEALTHY</c:v>
                </c:pt>
              </c:strCache>
            </c:strRef>
          </c:cat>
          <c:val>
            <c:numRef>
              <c:f>PivotData!$F$27:$G$27</c:f>
              <c:numCache>
                <c:formatCode>_-* #,##0.00\ [$€-1]_-;\-* #,##0.00\ [$€-1]_-;_-* "-"??\ [$€-1]_-;_-@_-</c:formatCode>
                <c:ptCount val="2"/>
                <c:pt idx="0">
                  <c:v>873024.57000000076</c:v>
                </c:pt>
                <c:pt idx="1">
                  <c:v>112316.29000000001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6A0-418D-8242-1E69890F9652}"/>
            </c:ext>
          </c:extLst>
        </c:ser>
        <c:ser>
          <c:idx val="3"/>
          <c:order val="3"/>
          <c:tx>
            <c:strRef>
              <c:f>PivotData!$E$28</c:f>
              <c:strCache>
                <c:ptCount val="1"/>
                <c:pt idx="0">
                  <c:v>Supplier Stock Units</c:v>
                </c:pt>
              </c:strCache>
            </c:strRef>
          </c:tx>
          <c:dPt>
            <c:idx val="0"/>
            <c:bubble3D val="0"/>
            <c:spPr>
              <a:solidFill>
                <a:srgbClr val="B4C6E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8F-43FC-98C4-9DB071BDC1FD}"/>
              </c:ext>
            </c:extLst>
          </c:dPt>
          <c:dPt>
            <c:idx val="1"/>
            <c:bubble3D val="0"/>
            <c:spPr>
              <a:solidFill>
                <a:srgbClr val="F4B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E3-46CA-8140-BB69642E3946}"/>
              </c:ext>
            </c:extLst>
          </c:dPt>
          <c:dLbls>
            <c:delete val="1"/>
          </c:dLbls>
          <c:cat>
            <c:strRef>
              <c:f>PivotData!$F$24:$G$24</c:f>
              <c:strCache>
                <c:ptCount val="2"/>
                <c:pt idx="0">
                  <c:v>HEALTHY</c:v>
                </c:pt>
                <c:pt idx="1">
                  <c:v>NO HEALTHY</c:v>
                </c:pt>
              </c:strCache>
            </c:strRef>
          </c:cat>
          <c:val>
            <c:numRef>
              <c:f>PivotData!$F$28:$G$28</c:f>
              <c:numCache>
                <c:formatCode>#,##0</c:formatCode>
                <c:ptCount val="2"/>
                <c:pt idx="0">
                  <c:v>90801</c:v>
                </c:pt>
                <c:pt idx="1">
                  <c:v>30563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6A0-418D-8242-1E69890F9652}"/>
            </c:ext>
          </c:extLst>
        </c:ser>
        <c:ser>
          <c:idx val="4"/>
          <c:order val="4"/>
          <c:tx>
            <c:strRef>
              <c:f>PivotData!$E$29</c:f>
              <c:strCache>
                <c:ptCount val="1"/>
                <c:pt idx="0">
                  <c:v>Supplier Stock Value (€)</c:v>
                </c:pt>
              </c:strCache>
            </c:strRef>
          </c:tx>
          <c:dPt>
            <c:idx val="0"/>
            <c:bubble3D val="0"/>
            <c:spPr>
              <a:solidFill>
                <a:srgbClr val="B4C6E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78F-43FC-98C4-9DB071BDC1FD}"/>
              </c:ext>
            </c:extLst>
          </c:dPt>
          <c:dPt>
            <c:idx val="1"/>
            <c:bubble3D val="0"/>
            <c:spPr>
              <a:solidFill>
                <a:srgbClr val="F4B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3E3-46CA-8140-BB69642E3946}"/>
              </c:ext>
            </c:extLst>
          </c:dPt>
          <c:dLbls>
            <c:delete val="1"/>
          </c:dLbls>
          <c:cat>
            <c:strRef>
              <c:f>PivotData!$F$24:$G$24</c:f>
              <c:strCache>
                <c:ptCount val="2"/>
                <c:pt idx="0">
                  <c:v>HEALTHY</c:v>
                </c:pt>
                <c:pt idx="1">
                  <c:v>NO HEALTHY</c:v>
                </c:pt>
              </c:strCache>
            </c:strRef>
          </c:cat>
          <c:val>
            <c:numRef>
              <c:f>PivotData!$F$29:$G$29</c:f>
              <c:numCache>
                <c:formatCode>_-* #,##0.00\ [$€-1]_-;\-* #,##0.00\ [$€-1]_-;_-* "-"??\ [$€-1]_-;_-@_-</c:formatCode>
                <c:ptCount val="2"/>
                <c:pt idx="0">
                  <c:v>3198661.1799999992</c:v>
                </c:pt>
                <c:pt idx="1">
                  <c:v>1377745.6400000001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6A0-418D-8242-1E69890F96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14</xdr:row>
      <xdr:rowOff>28575</xdr:rowOff>
    </xdr:from>
    <xdr:to>
      <xdr:col>13</xdr:col>
      <xdr:colOff>485775</xdr:colOff>
      <xdr:row>19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1DB41E-6AF7-91F2-0A05-79DF02D6465A}"/>
            </a:ext>
          </a:extLst>
        </xdr:cNvPr>
        <xdr:cNvSpPr txBox="1"/>
      </xdr:nvSpPr>
      <xdr:spPr>
        <a:xfrm>
          <a:off x="15411450" y="2743200"/>
          <a:ext cx="2809875" cy="11525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Note: All inventory valuations (Internal Stock Value and Supplier Stock Value) are calculated using the current supplier cost to accurately reflect total capital tied up across the supply chain</a:t>
          </a:r>
        </a:p>
      </xdr:txBody>
    </xdr:sp>
    <xdr:clientData/>
  </xdr:twoCellAnchor>
  <xdr:twoCellAnchor>
    <xdr:from>
      <xdr:col>9</xdr:col>
      <xdr:colOff>123825</xdr:colOff>
      <xdr:row>27</xdr:row>
      <xdr:rowOff>28575</xdr:rowOff>
    </xdr:from>
    <xdr:to>
      <xdr:col>13</xdr:col>
      <xdr:colOff>514350</xdr:colOff>
      <xdr:row>33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086312E-7EE1-4E6D-AF8E-8ED553F26EFA}"/>
            </a:ext>
            <a:ext uri="{147F2762-F138-4A5C-976F-8EAC2B608ADB}">
              <a16:predDERef xmlns:a16="http://schemas.microsoft.com/office/drawing/2014/main" pred="{E71DB41E-6AF7-91F2-0A05-79DF02D6465A}"/>
            </a:ext>
          </a:extLst>
        </xdr:cNvPr>
        <xdr:cNvSpPr txBox="1"/>
      </xdr:nvSpPr>
      <xdr:spPr>
        <a:xfrm>
          <a:off x="15420975" y="5286375"/>
          <a:ext cx="2828925" cy="11811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Note: The reorder budget is calculated for products with internal stock &lt;= reorder point, it measures the total cost required to replenish each affected item up to a target level of 100 units</a:t>
          </a:r>
        </a:p>
      </xdr:txBody>
    </xdr:sp>
    <xdr:clientData/>
  </xdr:twoCellAnchor>
  <xdr:twoCellAnchor>
    <xdr:from>
      <xdr:col>9</xdr:col>
      <xdr:colOff>95250</xdr:colOff>
      <xdr:row>1</xdr:row>
      <xdr:rowOff>228600</xdr:rowOff>
    </xdr:from>
    <xdr:to>
      <xdr:col>13</xdr:col>
      <xdr:colOff>485775</xdr:colOff>
      <xdr:row>5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B87685-8356-400B-BA37-8E293027F30F}"/>
            </a:ext>
            <a:ext uri="{147F2762-F138-4A5C-976F-8EAC2B608ADB}">
              <a16:predDERef xmlns:a16="http://schemas.microsoft.com/office/drawing/2014/main" pred="{1086312E-7EE1-4E6D-AF8E-8ED553F26EFA}"/>
            </a:ext>
          </a:extLst>
        </xdr:cNvPr>
        <xdr:cNvSpPr txBox="1"/>
      </xdr:nvSpPr>
      <xdr:spPr>
        <a:xfrm>
          <a:off x="15392400" y="419100"/>
          <a:ext cx="2828925" cy="7334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Note: The 13 SKUs without a retail price represent €78,516.16 in supplier costs awaiting valuation</a:t>
          </a:r>
        </a:p>
      </xdr:txBody>
    </xdr:sp>
    <xdr:clientData/>
  </xdr:twoCellAnchor>
  <xdr:twoCellAnchor>
    <xdr:from>
      <xdr:col>9</xdr:col>
      <xdr:colOff>104775</xdr:colOff>
      <xdr:row>6</xdr:row>
      <xdr:rowOff>152400</xdr:rowOff>
    </xdr:from>
    <xdr:to>
      <xdr:col>13</xdr:col>
      <xdr:colOff>476250</xdr:colOff>
      <xdr:row>12</xdr:row>
      <xdr:rowOff>161925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1A039E-6251-4F3A-89F3-17E9A5C204DC}"/>
            </a:ext>
            <a:ext uri="{147F2762-F138-4A5C-976F-8EAC2B608ADB}">
              <a16:predDERef xmlns:a16="http://schemas.microsoft.com/office/drawing/2014/main" pred="{02B87685-8356-400B-BA37-8E293027F30F}"/>
            </a:ext>
          </a:extLst>
        </xdr:cNvPr>
        <xdr:cNvSpPr txBox="1"/>
      </xdr:nvSpPr>
      <xdr:spPr>
        <a:xfrm>
          <a:off x="15401925" y="1343025"/>
          <a:ext cx="2809875" cy="11525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Note: The negative margin loss of -€16,897.99 reflects the current retail selling price relative to supplier unit cost across 9 SKUs. It represents immediate margin erosion on potential sales</a:t>
          </a:r>
        </a:p>
      </xdr:txBody>
    </xdr:sp>
    <xdr:clientData/>
  </xdr:twoCellAnchor>
  <xdr:twoCellAnchor>
    <xdr:from>
      <xdr:col>9</xdr:col>
      <xdr:colOff>123825</xdr:colOff>
      <xdr:row>21</xdr:row>
      <xdr:rowOff>38100</xdr:rowOff>
    </xdr:from>
    <xdr:to>
      <xdr:col>13</xdr:col>
      <xdr:colOff>495300</xdr:colOff>
      <xdr:row>26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2387E2C-5692-440B-994F-FEA83C544A09}"/>
            </a:ext>
            <a:ext uri="{147F2762-F138-4A5C-976F-8EAC2B608ADB}">
              <a16:predDERef xmlns:a16="http://schemas.microsoft.com/office/drawing/2014/main" pred="{F01A039E-6251-4F3A-89F3-17E9A5C204DC}"/>
            </a:ext>
          </a:extLst>
        </xdr:cNvPr>
        <xdr:cNvSpPr txBox="1"/>
      </xdr:nvSpPr>
      <xdr:spPr>
        <a:xfrm>
          <a:off x="15420975" y="4133850"/>
          <a:ext cx="2809875" cy="9620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Note: Category margin percentages reflect volume-weighted averages based on internal stock values, rather than simple arithmetic averages</a:t>
          </a:r>
        </a:p>
      </xdr:txBody>
    </xdr:sp>
    <xdr:clientData/>
  </xdr:twoCellAnchor>
  <xdr:twoCellAnchor>
    <xdr:from>
      <xdr:col>9</xdr:col>
      <xdr:colOff>133350</xdr:colOff>
      <xdr:row>34</xdr:row>
      <xdr:rowOff>57150</xdr:rowOff>
    </xdr:from>
    <xdr:to>
      <xdr:col>13</xdr:col>
      <xdr:colOff>495300</xdr:colOff>
      <xdr:row>40</xdr:row>
      <xdr:rowOff>95250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00DC8AB-E3D8-4D80-9601-07BA3B019BCA}"/>
            </a:ext>
            <a:ext uri="{147F2762-F138-4A5C-976F-8EAC2B608ADB}">
              <a16:predDERef xmlns:a16="http://schemas.microsoft.com/office/drawing/2014/main" pred="{02387E2C-5692-440B-994F-FEA83C544A09}"/>
            </a:ext>
          </a:extLst>
        </xdr:cNvPr>
        <xdr:cNvSpPr txBox="1"/>
      </xdr:nvSpPr>
      <xdr:spPr>
        <a:xfrm>
          <a:off x="15430500" y="6696075"/>
          <a:ext cx="2800350" cy="11811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Note: The Actionable Reorder Budget (€268,503.60) accounts for supplier stock availability. Due to supplier inventory constraints, executive working capital outlay is reduced by €18,970.12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5</xdr:row>
      <xdr:rowOff>9525</xdr:rowOff>
    </xdr:from>
    <xdr:to>
      <xdr:col>7</xdr:col>
      <xdr:colOff>485775</xdr:colOff>
      <xdr:row>24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260BA4-560A-E6B3-4885-31E705EAC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5</xdr:row>
      <xdr:rowOff>95250</xdr:rowOff>
    </xdr:from>
    <xdr:to>
      <xdr:col>25</xdr:col>
      <xdr:colOff>695325</xdr:colOff>
      <xdr:row>18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7312FA7-7A27-4D3D-342D-463168B8CB53}"/>
            </a:ext>
            <a:ext uri="{147F2762-F138-4A5C-976F-8EAC2B608ADB}">
              <a16:predDERef xmlns:a16="http://schemas.microsoft.com/office/drawing/2014/main" pred="{E1260BA4-560A-E6B3-4885-31E705EAC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171450</xdr:colOff>
      <xdr:row>5</xdr:row>
      <xdr:rowOff>9525</xdr:rowOff>
    </xdr:from>
    <xdr:to>
      <xdr:col>20</xdr:col>
      <xdr:colOff>142875</xdr:colOff>
      <xdr:row>21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B3D8CEF-0293-9B55-A0C5-4E73FEB2EB89}"/>
            </a:ext>
            <a:ext uri="{147F2762-F138-4A5C-976F-8EAC2B608ADB}">
              <a16:predDERef xmlns:a16="http://schemas.microsoft.com/office/drawing/2014/main" pred="{47312FA7-7A27-4D3D-342D-463168B8C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581025</xdr:colOff>
      <xdr:row>5</xdr:row>
      <xdr:rowOff>0</xdr:rowOff>
    </xdr:from>
    <xdr:to>
      <xdr:col>15</xdr:col>
      <xdr:colOff>161925</xdr:colOff>
      <xdr:row>23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2E7C07F-E58D-5E69-2E16-6A4E4E3F2D8E}"/>
            </a:ext>
            <a:ext uri="{147F2762-F138-4A5C-976F-8EAC2B608ADB}">
              <a16:predDERef xmlns:a16="http://schemas.microsoft.com/office/drawing/2014/main" pred="{0B3D8CEF-0293-9B55-A0C5-4E73FEB2E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638175</xdr:colOff>
      <xdr:row>18</xdr:row>
      <xdr:rowOff>152400</xdr:rowOff>
    </xdr:from>
    <xdr:to>
      <xdr:col>26</xdr:col>
      <xdr:colOff>47625</xdr:colOff>
      <xdr:row>31</xdr:row>
      <xdr:rowOff>161925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9BC48D-70E2-6B79-CE05-B9F1919AF3C1}"/>
            </a:ext>
            <a:ext uri="{147F2762-F138-4A5C-976F-8EAC2B608ADB}">
              <a16:predDERef xmlns:a16="http://schemas.microsoft.com/office/drawing/2014/main" pred="{B2E7C07F-E58D-5E69-2E16-6A4E4E3F2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695325</xdr:colOff>
      <xdr:row>31</xdr:row>
      <xdr:rowOff>57150</xdr:rowOff>
    </xdr:from>
    <xdr:to>
      <xdr:col>26</xdr:col>
      <xdr:colOff>47625</xdr:colOff>
      <xdr:row>44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169598-D60F-3996-D8B3-C21B131E90A2}"/>
            </a:ext>
            <a:ext uri="{147F2762-F138-4A5C-976F-8EAC2B608ADB}">
              <a16:predDERef xmlns:a16="http://schemas.microsoft.com/office/drawing/2014/main" pred="{989BC48D-70E2-6B79-CE05-B9F1919AF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5.679356018518" createdVersion="8" refreshedVersion="8" minRefreshableVersion="3" recordCount="10" xr:uid="{1256E939-0B01-49B0-AF34-0939699180CD}">
  <cacheSource type="worksheet">
    <worksheetSource name="tbl_CategoryLeverageStatus"/>
  </cacheSource>
  <cacheFields count="5">
    <cacheField name="Product Category" numFmtId="0">
      <sharedItems count="10">
        <s v="Books"/>
        <s v="Electronics"/>
        <s v="Toys"/>
        <s v="Home"/>
        <s v="Clothing"/>
        <s v="Sports"/>
        <s v="Kitchen"/>
        <s v="Beauty"/>
        <s v="Unknown"/>
        <s v="(Blanks)"/>
      </sharedItems>
    </cacheField>
    <cacheField name="Internal Stock Units" numFmtId="3">
      <sharedItems containsSemiMixedTypes="0" containsString="0" containsNumber="1" containsInteger="1" minValue="0" maxValue="3901"/>
    </cacheField>
    <cacheField name="Supplier Stock Units" numFmtId="3">
      <sharedItems containsSemiMixedTypes="0" containsString="0" containsNumber="1" containsInteger="1" minValue="580" maxValue="17695" count="10">
        <n v="13656"/>
        <n v="15563"/>
        <n v="16187"/>
        <n v="17695"/>
        <n v="14551"/>
        <n v="11837"/>
        <n v="17086"/>
        <n v="12766"/>
        <n v="1443"/>
        <n v="580"/>
      </sharedItems>
    </cacheField>
    <cacheField name="Supplier Leverage Ratio" numFmtId="169">
      <sharedItems containsMixedTypes="1" containsNumber="1" minValue="4.2316715542521992" maxValue="5.2521090201168077" count="10">
        <n v="4.6992429456297318"/>
        <n v="4.9172195892575044"/>
        <n v="5.2521090201168077"/>
        <n v="4.5360164060497308"/>
        <n v="4.2360989810771468"/>
        <n v="4.5162151850438761"/>
        <n v="4.8928980526918675"/>
        <n v="5.116633266533066"/>
        <n v="4.2316715542521992"/>
        <s v="N/A"/>
      </sharedItems>
    </cacheField>
    <cacheField name="Leverage Status" numFmtId="1">
      <sharedItems/>
    </cacheField>
  </cacheFields>
  <extLst>
    <ext xmlns:x14="http://schemas.microsoft.com/office/spreadsheetml/2009/9/main" uri="{725AE2AE-9491-48be-B2B4-4EB974FC3084}">
      <x14:pivotCacheDefinition pivotCacheId="1555375627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5.703666203706" createdVersion="8" refreshedVersion="8" minRefreshableVersion="3" recordCount="3" xr:uid="{3190F2A3-E60C-43E3-8575-84AC0B756E96}">
  <cacheSource type="worksheet">
    <worksheetSource name="tbl_MarginAudit"/>
  </cacheSource>
  <cacheFields count="7">
    <cacheField name="Margin Health Status" numFmtId="0">
      <sharedItems count="3">
        <s v="MARGIN OK"/>
        <s v="CRITICAL Negative margin"/>
        <s v="N/A Missing price data"/>
      </sharedItems>
    </cacheField>
    <cacheField name="SKU Count" numFmtId="0">
      <sharedItems containsSemiMixedTypes="0" containsString="0" containsNumber="1" containsInteger="1" minValue="9" maxValue="483"/>
    </cacheField>
    <cacheField name="Stock Units" numFmtId="3">
      <sharedItems containsSemiMixedTypes="0" containsString="0" containsNumber="1" containsInteger="1" minValue="2168" maxValue="116575"/>
    </cacheField>
    <cacheField name="Total Supplier Cost" numFmtId="164">
      <sharedItems containsSemiMixedTypes="0" containsString="0" containsNumber="1" minValue="78516.159999999989" maxValue="4362546.2799999993"/>
    </cacheField>
    <cacheField name="Total Retail Value" numFmtId="164">
      <sharedItems containsSemiMixedTypes="0" containsString="0" containsNumber="1" minValue="0" maxValue="8871134.3200000022"/>
    </cacheField>
    <cacheField name="Net Profit/Loss" numFmtId="164">
      <sharedItems containsSemiMixedTypes="0" containsString="0" containsNumber="1" minValue="-78516.159999999989" maxValue="4508588.0400000028"/>
    </cacheField>
    <cacheField name="Avg Margin %" numFmtId="10">
      <sharedItems containsMixedTypes="1" containsNumber="1" minValue="-0.14266361347103956" maxValue="0.5082312900882782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5.716835879626" createdVersion="8" refreshedVersion="8" minRefreshableVersion="3" recordCount="2" xr:uid="{3BAAC3DC-AC83-4C0C-AB40-E368F2E00ABA}">
  <cacheSource type="worksheet">
    <worksheetSource name="tbl_ActionableReorderBudget"/>
  </cacheSource>
  <cacheFields count="7">
    <cacheField name="Fulfillment Feasibility Tier" numFmtId="0">
      <sharedItems count="2">
        <s v="Full Coverage (100% Available)"/>
        <s v="Partial Coverage (Supplier Under-stock)"/>
      </sharedItems>
    </cacheField>
    <cacheField name="SKU Count" numFmtId="0">
      <sharedItems containsSemiMixedTypes="0" containsString="0" containsNumber="1" containsInteger="1" minValue="21" maxValue="61"/>
    </cacheField>
    <cacheField name="Theoretical Reorder Need" numFmtId="3">
      <sharedItems containsSemiMixedTypes="0" containsString="0" containsNumber="1" containsInteger="1" minValue="1988" maxValue="5679" count="2">
        <n v="5679"/>
        <n v="1988"/>
      </sharedItems>
    </cacheField>
    <cacheField name="Fulfillable Units" numFmtId="3">
      <sharedItems containsSemiMixedTypes="0" containsString="0" containsNumber="1" containsInteger="1" minValue="944" maxValue="5679"/>
    </cacheField>
    <cacheField name="Shortfall Units" numFmtId="3">
      <sharedItems containsSemiMixedTypes="0" containsString="0" containsNumber="1" containsInteger="1" minValue="0" maxValue="1044"/>
    </cacheField>
    <cacheField name="Fulfillment Capacity %" numFmtId="10">
      <sharedItems containsSemiMixedTypes="0" containsString="0" containsNumber="1" minValue="0.47484909456740443" maxValue="1"/>
    </cacheField>
    <cacheField name="Actionable Reorder Budget" numFmtId="167">
      <sharedItems containsSemiMixedTypes="0" containsString="0" containsNumber="1" minValue="40890.76" maxValue="227612.84000000005" count="2">
        <n v="227612.84000000005"/>
        <n v="40890.76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5.740426273151" createdVersion="8" refreshedVersion="8" minRefreshableVersion="3" recordCount="10" xr:uid="{1831768B-27D5-42A5-83D3-C5FFCA9B13EF}">
  <cacheSource type="worksheet">
    <worksheetSource name="tbl_CategoryMargin"/>
  </cacheSource>
  <cacheFields count="7">
    <cacheField name="Product Category" numFmtId="0">
      <sharedItems count="10">
        <s v="Books"/>
        <s v="Electronics"/>
        <s v="Toys"/>
        <s v="Home"/>
        <s v="Clothing"/>
        <s v="Sports"/>
        <s v="Kitchen"/>
        <s v="Beauty"/>
        <s v="Unknown"/>
        <s v="(Blanks)"/>
      </sharedItems>
    </cacheField>
    <cacheField name="SKU Count" numFmtId="0">
      <sharedItems containsSemiMixedTypes="0" containsString="0" containsNumber="1" containsInteger="1" minValue="5" maxValue="73"/>
    </cacheField>
    <cacheField name="Internal Stock Value" numFmtId="164">
      <sharedItems containsSemiMixedTypes="0" containsString="0" containsNumber="1" minValue="0" maxValue="358841.80000000016"/>
    </cacheField>
    <cacheField name="Weight on Internal Stock %" numFmtId="10">
      <sharedItems containsSemiMixedTypes="0" containsString="0" containsNumber="1" minValue="0" maxValue="0.36418037104439183"/>
    </cacheField>
    <cacheField name="Weighted Margin % " numFmtId="0">
      <sharedItems containsMixedTypes="1" containsNumber="1" minValue="0.42049157924740821" maxValue="0.56151858826702972"/>
    </cacheField>
    <cacheField name="Reorder Alert SKUs" numFmtId="1">
      <sharedItems containsSemiMixedTypes="0" containsString="0" containsNumber="1" containsInteger="1" minValue="0" maxValue="14"/>
    </cacheField>
    <cacheField name="Average Ticket Price" numFmtId="166">
      <sharedItems containsMixedTypes="1" containsNumber="1" minValue="25.725087719298237" maxValue="250.97000000000003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5.777029282406" createdVersion="8" refreshedVersion="8" minRefreshableVersion="3" recordCount="3" xr:uid="{F8AE5919-51E9-4C45-95F6-837C9C1D0DDD}">
  <cacheSource type="worksheet">
    <worksheetSource name="tbl_StockHealth"/>
  </cacheSource>
  <cacheFields count="6">
    <cacheField name="Stock Health Status" numFmtId="0">
      <sharedItems count="3">
        <s v="HEALTHY AVAILABILITY Internal available stock"/>
        <s v="WARNING Below reorder point - reorder available from Supplier"/>
        <s v="CRITICAL Internal stockout - reorder available from Supplier"/>
      </sharedItems>
    </cacheField>
    <cacheField name="SKU Count" numFmtId="1">
      <sharedItems containsSemiMixedTypes="0" containsString="0" containsNumber="1" containsInteger="1" minValue="12" maxValue="423"/>
    </cacheField>
    <cacheField name="Internal Stock Units" numFmtId="3">
      <sharedItems containsSemiMixedTypes="0" containsString="0" containsNumber="1" containsInteger="1" minValue="0" maxValue="24905"/>
    </cacheField>
    <cacheField name="Internal Stock Value" numFmtId="165">
      <sharedItems containsSemiMixedTypes="0" containsString="0" containsNumber="1" minValue="0" maxValue="966003.58000000042"/>
    </cacheField>
    <cacheField name="Supplier Stock Units" numFmtId="3">
      <sharedItems containsSemiMixedTypes="0" containsString="0" containsNumber="1" containsInteger="1" minValue="2148" maxValue="101843"/>
    </cacheField>
    <cacheField name="Recommended Route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2906"/>
    <x v="0"/>
    <x v="0"/>
    <s v="High Potential"/>
  </r>
  <r>
    <x v="1"/>
    <n v="3165"/>
    <x v="1"/>
    <x v="1"/>
    <s v="High Potential"/>
  </r>
  <r>
    <x v="2"/>
    <n v="3082"/>
    <x v="2"/>
    <x v="2"/>
    <s v="Maximum Leverage"/>
  </r>
  <r>
    <x v="3"/>
    <n v="3901"/>
    <x v="3"/>
    <x v="3"/>
    <s v="High Potential"/>
  </r>
  <r>
    <x v="4"/>
    <n v="3435"/>
    <x v="4"/>
    <x v="4"/>
    <s v="Moderate Leverage"/>
  </r>
  <r>
    <x v="5"/>
    <n v="2621"/>
    <x v="5"/>
    <x v="5"/>
    <s v="High Potential"/>
  </r>
  <r>
    <x v="6"/>
    <n v="3492"/>
    <x v="6"/>
    <x v="6"/>
    <s v="High Potential"/>
  </r>
  <r>
    <x v="7"/>
    <n v="2495"/>
    <x v="7"/>
    <x v="7"/>
    <s v="Maximum Leverage"/>
  </r>
  <r>
    <x v="8"/>
    <n v="341"/>
    <x v="8"/>
    <x v="8"/>
    <s v="Moderate Leverage"/>
  </r>
  <r>
    <x v="9"/>
    <n v="0"/>
    <x v="9"/>
    <x v="9"/>
    <s v="N/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483"/>
    <n v="116575"/>
    <n v="4362546.2799999993"/>
    <n v="8871134.3200000022"/>
    <n v="4508588.0400000028"/>
    <n v="0.50823129008827828"/>
  </r>
  <r>
    <x v="1"/>
    <n v="9"/>
    <n v="2168"/>
    <n v="135344.38"/>
    <n v="118446.39"/>
    <n v="-16897.990000000005"/>
    <n v="-0.14266361347103956"/>
  </r>
  <r>
    <x v="2"/>
    <n v="13"/>
    <n v="2621"/>
    <n v="78516.159999999989"/>
    <n v="0"/>
    <n v="-78516.159999999989"/>
    <s v="N/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61"/>
    <x v="0"/>
    <n v="5679"/>
    <n v="0"/>
    <n v="1"/>
    <x v="0"/>
  </r>
  <r>
    <x v="1"/>
    <n v="21"/>
    <x v="1"/>
    <n v="944"/>
    <n v="1044"/>
    <n v="0.47484909456740443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8"/>
    <n v="37003.289999999994"/>
    <n v="3.7553796358348511E-2"/>
    <n v="0.46258696058512982"/>
    <n v="9"/>
    <n v="25.725087719298237"/>
  </r>
  <r>
    <x v="1"/>
    <n v="68"/>
    <n v="358841.80000000016"/>
    <n v="0.36418037104439183"/>
    <n v="0.56151858826702972"/>
    <n v="14"/>
    <n v="250.97000000000003"/>
  </r>
  <r>
    <x v="2"/>
    <n v="61"/>
    <n v="69226.829999999987"/>
    <n v="7.0256733289229462E-2"/>
    <n v="0.42049157924740821"/>
    <n v="7"/>
    <n v="39.797966101694904"/>
  </r>
  <r>
    <x v="3"/>
    <n v="72"/>
    <n v="94309.85000000002"/>
    <n v="9.5712919080611358E-2"/>
    <n v="0.461614742748371"/>
    <n v="9"/>
    <n v="48.430714285714295"/>
  </r>
  <r>
    <x v="4"/>
    <n v="66"/>
    <n v="122334.87999999999"/>
    <n v="0.12415488382365467"/>
    <n v="0.43767418856032325"/>
    <n v="12"/>
    <n v="58.985606060606074"/>
  </r>
  <r>
    <x v="5"/>
    <n v="46"/>
    <n v="69474.600000000006"/>
    <n v="7.0508189419852124E-2"/>
    <n v="0.49408489169676917"/>
    <n v="6"/>
    <n v="53.639111111111113"/>
  </r>
  <r>
    <x v="6"/>
    <n v="73"/>
    <n v="114336.84999999996"/>
    <n v="0.11603786531292323"/>
    <n v="0.48378074696554829"/>
    <n v="12"/>
    <n v="60.321506849315107"/>
  </r>
  <r>
    <x v="7"/>
    <n v="51"/>
    <n v="113315.17000000001"/>
    <n v="0.11500098554727549"/>
    <n v="0.4381088890430479"/>
    <n v="8"/>
    <n v="74.756530612244887"/>
  </r>
  <r>
    <x v="8"/>
    <n v="5"/>
    <n v="6497.59"/>
    <n v="6.5942561237133709E-3"/>
    <n v="0.5017491258205018"/>
    <n v="0"/>
    <n v="45.571999999999996"/>
  </r>
  <r>
    <x v="9"/>
    <n v="5"/>
    <n v="0"/>
    <n v="0"/>
    <e v="#DIV/0!"/>
    <n v="5"/>
    <e v="#DIV/0!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423"/>
    <n v="24905"/>
    <n v="966003.58000000042"/>
    <n v="101843"/>
    <s v="Fulfill in-house"/>
  </r>
  <r>
    <x v="1"/>
    <n v="70"/>
    <n v="533"/>
    <n v="19337.279999999995"/>
    <n v="17373"/>
    <s v="Fulfill in-house"/>
  </r>
  <r>
    <x v="2"/>
    <n v="12"/>
    <n v="0"/>
    <n v="0"/>
    <n v="2148"/>
    <s v="Fulfill via dropshi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DC3F3-6635-494F-BEB0-DB286B810B62}" name="PivotTable1" cacheId="6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C14" firstHeaderRow="0" firstDataRow="1" firstDataCol="1"/>
  <pivotFields count="5">
    <pivotField axis="axisRow" compact="0" outline="0" showAll="0">
      <items count="11">
        <item x="7"/>
        <item x="0"/>
        <item x="4"/>
        <item x="1"/>
        <item x="3"/>
        <item x="6"/>
        <item x="5"/>
        <item x="2"/>
        <item x="8"/>
        <item x="9"/>
        <item t="default"/>
      </items>
    </pivotField>
    <pivotField dataField="1" compact="0" numFmtId="3" outline="0" showAll="0"/>
    <pivotField dataField="1" compact="0" numFmtId="3" outline="0" showAll="0">
      <items count="11">
        <item x="9"/>
        <item x="8"/>
        <item x="5"/>
        <item x="7"/>
        <item x="0"/>
        <item x="4"/>
        <item x="1"/>
        <item x="2"/>
        <item x="6"/>
        <item x="3"/>
        <item t="default"/>
      </items>
    </pivotField>
    <pivotField compact="0" outline="0" showAll="0">
      <items count="11">
        <item x="8"/>
        <item x="4"/>
        <item x="5"/>
        <item x="3"/>
        <item x="0"/>
        <item x="6"/>
        <item x="1"/>
        <item x="7"/>
        <item x="2"/>
        <item x="9"/>
        <item t="default"/>
      </items>
    </pivotField>
    <pivotField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ternal Stock Units" fld="1" baseField="0" baseItem="0" numFmtId="3"/>
    <dataField name="Sum of Supplier Stock Units" fld="2" baseField="0" baseItem="0" numFmtId="3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8DDEF-9100-454C-97E5-32BA2626BE6F}" name="PivotTable2" cacheId="6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E3:F7" firstHeaderRow="1" firstDataRow="1" firstDataCol="1"/>
  <pivotFields count="7"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3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Net Profit/Loss" fld="5" baseField="0" baseItem="0" numFmtId="164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C33B8-7989-47BC-8FD8-EB4B84BF63D2}" name="PivotTable6" cacheId="6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17:F21" firstHeaderRow="1" firstDataRow="1" firstDataCol="1"/>
  <pivotFields count="6">
    <pivotField axis="axisRow" compact="0" outline="0" showAll="0" sortType="descending">
      <items count="4">
        <item n="CRITICAL Internal stockout " x="2"/>
        <item n="HEALTHY AVAILABILITY" x="0"/>
        <item n="WARNING Below reorder point 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" outline="0" showAll="0"/>
    <pivotField compact="0" numFmtId="3" outline="0" showAll="0"/>
    <pivotField compact="0" numFmtId="165" outline="0" showAll="0"/>
    <pivotField compact="0" numFmtId="3" outline="0" showAll="0"/>
    <pivotField compact="0" outline="0" showAll="0"/>
  </pivotFields>
  <rowFields count="1">
    <field x="0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SKU Count" fld="1" baseField="0" baseItem="0" numFmtId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4BFD4-0BC0-426C-9F86-37F6E92C1FC6}" name="PivotTable5" cacheId="6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7:B28" firstHeaderRow="1" firstDataRow="1" firstDataCol="1"/>
  <pivotFields count="7">
    <pivotField axis="axisRow" compact="0" outline="0" showAll="0">
      <items count="11">
        <item x="7"/>
        <item x="0"/>
        <item x="4"/>
        <item x="1"/>
        <item x="3"/>
        <item x="6"/>
        <item x="5"/>
        <item x="2"/>
        <item x="8"/>
        <item x="9"/>
        <item t="default"/>
      </items>
    </pivotField>
    <pivotField compact="0" outline="0" showAll="0"/>
    <pivotField dataField="1" compact="0" numFmtId="164" outline="0" showAll="0"/>
    <pivotField compact="0" numFmtId="10" outline="0" showAll="0"/>
    <pivotField compact="0" outline="0" showAll="0"/>
    <pivotField compact="0" numFmtId="1" outline="0" showAll="0"/>
    <pivotField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Internal Stock Value" fld="2" baseField="0" baseItem="0" numFmtId="164"/>
  </dataFields>
  <chartFormats count="1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8C104-8351-4734-8BC1-58476A593E4E}" name="PivotTable3" cacheId="6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E10:G13" firstHeaderRow="0" firstDataRow="1" firstDataCol="1"/>
  <pivotFields count="7">
    <pivotField axis="axisRow" compact="0" outline="0" showAll="0">
      <items count="3">
        <item n="Full Coverage" x="0"/>
        <item n="Partial Coverage" x="1"/>
        <item t="default"/>
      </items>
    </pivotField>
    <pivotField compact="0" outline="0" showAll="0"/>
    <pivotField dataField="1" compact="0" numFmtId="3" outline="0" showAll="0">
      <items count="3">
        <item x="1"/>
        <item x="0"/>
        <item t="default"/>
      </items>
    </pivotField>
    <pivotField dataField="1" compact="0" numFmtId="3" outline="0" showAll="0"/>
    <pivotField compact="0" numFmtId="3" outline="0" showAll="0"/>
    <pivotField compact="0" numFmtId="10" outline="0" showAll="0"/>
    <pivotField compact="0" numFmtId="167" outline="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heoretical Reorder Need" fld="2" baseField="0" baseItem="0" numFmtId="3"/>
    <dataField name="Sum of Fulfillable Units" fld="3" baseField="0" baseItem="0" numFmtId="3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3010A-2614-4C42-98ED-01BF6170DF46}" name="tbl_InventorySupplier" displayName="tbl_InventorySupplier" ref="A1:P507" totalsRowCount="1">
  <autoFilter ref="A1:P506" xr:uid="{7A03010A-2614-4C42-98ED-01BF6170DF46}"/>
  <sortState xmlns:xlrd2="http://schemas.microsoft.com/office/spreadsheetml/2017/richdata2" ref="A2:O506">
    <sortCondition sortBy="cellColor" ref="D1" dxfId="93"/>
  </sortState>
  <tableColumns count="16">
    <tableColumn id="1" xr3:uid="{F17E48CD-62BD-4040-B986-52CEEBEF7CDC}" name="consolidated_sku" totalsRowFunction="custom" totalsRowDxfId="92">
      <totalsRowFormula>COUNTA(_xlfn.UNIQUE(A2:A506))</totalsRowFormula>
    </tableColumn>
    <tableColumn id="2" xr3:uid="{00046332-5372-41F1-B612-AFB1809DD22F}" name="product_name" totalsRowDxfId="91"/>
    <tableColumn id="3" xr3:uid="{983343B3-35D0-4FD5-946D-7FE82A5AD76A}" name="category" totalsRowDxfId="90"/>
    <tableColumn id="4" xr3:uid="{2EBE289E-3B77-4659-84AC-F1A78992291B}" name="catalog_integration_status" totalsRowFunction="custom" totalsRowDxfId="89">
      <totalsRowFormula>COUNTIF(D2:D506, "MATCHED")</totalsRowFormula>
    </tableColumn>
    <tableColumn id="5" xr3:uid="{43C4B708-DEA2-4F32-BB89-7D838B500DDA}" name="retail_price" dataDxfId="87" totalsRowDxfId="88"/>
    <tableColumn id="6" xr3:uid="{6831D371-B628-46E9-8A18-DC639D041A3B}" name="current_supplier_cost" dataDxfId="85" totalsRowDxfId="86"/>
    <tableColumn id="7" xr3:uid="{D6AE5C91-D1E1-4964-ABB3-3120835730D4}" name="current_unit_margin_amount" dataDxfId="83" totalsRowDxfId="84"/>
    <tableColumn id="8" xr3:uid="{579D69E0-9FFC-4ECA-BD5F-A2C9AB4B2E6F}" name="current_margin_percentage" dataDxfId="81" totalsRowDxfId="82"/>
    <tableColumn id="9" xr3:uid="{6CAB7770-1CA6-4289-8997-6CA1676829AB}" name="margin_health_status" totalsRowDxfId="80"/>
    <tableColumn id="10" xr3:uid="{885F26AC-AE60-4FA9-A5C0-4B02BD3D1349}" name="internal_stock" dataDxfId="78" totalsRowDxfId="79"/>
    <tableColumn id="11" xr3:uid="{5B80985B-C938-4E9D-8DED-076C0EC47783}" name="reorder_point" dataDxfId="76" totalsRowDxfId="77"/>
    <tableColumn id="12" xr3:uid="{9B39D577-DC48-48E7-9AF7-B1E6AA36A43B}" name="supplier_stock" dataDxfId="74" totalsRowDxfId="75"/>
    <tableColumn id="13" xr3:uid="{8170F417-4BCC-4AE0-82C7-7956086BBDE9}" name="total_system_availability" dataDxfId="72" totalsRowDxfId="73"/>
    <tableColumn id="14" xr3:uid="{7AF75042-0940-4DAC-9A19-079232257FA2}" name="stock_health_status" totalsRowDxfId="71"/>
    <tableColumn id="15" xr3:uid="{BE684A34-9585-463A-B6FF-643E553EF75A}" name="recommended_fulfillment_route"/>
    <tableColumn id="16" xr3:uid="{146CCAA4-96A1-4361-94BA-D455FE0FB9B3}" name="duplicate_name" dataDxfId="69" totalsRowDxfId="70">
      <calculatedColumnFormula>IF(COUNTIF($B$2:$B$506, B2)&gt;1, "DUPLICATE", "OK")</calculatedColumnFormula>
    </tableColumn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2A761C-A229-46AC-90FB-80EEB663106D}" name="tbl_MarginAudit" displayName="tbl_MarginAudit" ref="B3:H7" totalsRowCount="1" headerRowDxfId="68">
  <autoFilter ref="B3:H6" xr:uid="{772A761C-A229-46AC-90FB-80EEB663106D}"/>
  <tableColumns count="7">
    <tableColumn id="1" xr3:uid="{A1776B69-A0B3-4067-881C-D4004A5342F2}" name="Margin Health Status" totalsRowLabel="Total"/>
    <tableColumn id="2" xr3:uid="{FDF43166-B8E8-4E3B-8CBA-05ECE8F1BCEF}" name="SKU Count" totalsRowFunction="custom" dataDxfId="67">
      <calculatedColumnFormula>COUNTIF(tbl_InventorySupplier[margin_health_status], B4)</calculatedColumnFormula>
      <totalsRowFormula>SUBTOTAL(109,C4:C6)</totalsRowFormula>
    </tableColumn>
    <tableColumn id="8" xr3:uid="{C48EC9E7-C81C-4BCB-9C66-931DB2C1DD34}" name="Supplier Stock Units" totalsRowFunction="custom" dataDxfId="65" totalsRowDxfId="66">
      <calculatedColumnFormula>SUMIFS(tbl_InventorySupplier[supplier_stock], tbl_InventorySupplier[margin_health_status], B4)</calculatedColumnFormula>
      <totalsRowFormula>SUBTOTAL(109,D4:D6)</totalsRowFormula>
    </tableColumn>
    <tableColumn id="3" xr3:uid="{EAFE5067-C0A7-4613-A561-9C168A2AB5DE}" name="Total Supplier Cost" totalsRowFunction="custom" dataDxfId="63" totalsRowDxfId="64">
      <calculatedColumnFormula array="1">SUMPRODUCT((tbl_InventorySupplier[margin_health_status]=B4) * tbl_InventorySupplier[supplier_stock] * tbl_InventorySupplier[current_supplier_cost])</calculatedColumnFormula>
      <totalsRowFormula>SUBTOTAL(109,E4:E6)</totalsRowFormula>
    </tableColumn>
    <tableColumn id="4" xr3:uid="{61B372E9-D5B8-4D5D-8F97-66C258EEC5A1}" name="Total Retail Value" totalsRowFunction="custom" dataDxfId="61" totalsRowDxfId="62">
      <calculatedColumnFormula array="1">SUMPRODUCT((tbl_InventorySupplier[margin_health_status]=B4) * tbl_InventorySupplier[supplier_stock] * N(+tbl_InventorySupplier[retail_price]))</calculatedColumnFormula>
      <totalsRowFormula>SUBTOTAL(109,F4:F6)</totalsRowFormula>
    </tableColumn>
    <tableColumn id="5" xr3:uid="{02528E40-C319-41D8-93C1-366FCC2BFB54}" name="Net Profit/Loss" totalsRowFunction="sum" dataDxfId="59" totalsRowDxfId="60">
      <calculatedColumnFormula>F4 - E4</calculatedColumnFormula>
    </tableColumn>
    <tableColumn id="6" xr3:uid="{8FB74CEA-EC36-45A7-A0AD-6ABDA66365B5}" name="Avg Margin %" totalsRowFunction="custom" dataDxfId="57" totalsRowDxfId="58">
      <calculatedColumnFormula>IF(F4=0, "N/A", G4 / F4)</calculatedColumnFormula>
      <totalsRowFormula>G7/F7</totalsRowFormula>
    </tableColumn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6B2647-C54F-4A4F-AD79-C8A1A6F31CE0}" name="tbl_StockHealth" displayName="tbl_StockHealth" ref="B10:G14" totalsRowCount="1" headerRowDxfId="56">
  <autoFilter ref="B10:G13" xr:uid="{8B6B2647-C54F-4A4F-AD79-C8A1A6F31CE0}"/>
  <tableColumns count="6">
    <tableColumn id="1" xr3:uid="{E4231BC9-45A5-41D3-B643-5D607AB10549}" name="Stock Health Status" totalsRowLabel="Total"/>
    <tableColumn id="2" xr3:uid="{BF159E39-2114-46B2-B67D-DC9D12840AB6}" name="SKU Count" totalsRowFunction="custom" dataDxfId="55">
      <calculatedColumnFormula>COUNTIF(tbl_InventorySupplier[stock_health_status], B11)</calculatedColumnFormula>
      <totalsRowFormula>SUBTOTAL(109,C11:C13)</totalsRowFormula>
    </tableColumn>
    <tableColumn id="3" xr3:uid="{105459B8-8483-46D4-80E4-B25C8A2B6AA1}" name="Internal Stock Units" totalsRowFunction="custom" dataDxfId="53" totalsRowDxfId="54">
      <calculatedColumnFormula>SUMIF(tbl_InventorySupplier[stock_health_status], B11, tbl_InventorySupplier[internal_stock])</calculatedColumnFormula>
      <totalsRowFormula>SUBTOTAL(109,D11:D13)</totalsRowFormula>
    </tableColumn>
    <tableColumn id="4" xr3:uid="{5ACAA0DC-E411-4069-842E-5DA738B172DF}" name="Internal Stock Value" totalsRowFunction="custom" dataDxfId="51" totalsRowDxfId="52">
      <calculatedColumnFormula array="1">SUMPRODUCT((tbl_InventorySupplier[stock_health_status]=B11)*(tbl_InventorySupplier[internal_stock])*(tbl_InventorySupplier[current_supplier_cost]))</calculatedColumnFormula>
      <totalsRowFormula>SUBTOTAL(109,E11:E13)</totalsRowFormula>
    </tableColumn>
    <tableColumn id="5" xr3:uid="{F16DEB0C-F060-44E7-BE4E-CA2AD24A64FC}" name="Supplier Stock Units" totalsRowFunction="custom" dataDxfId="50">
      <calculatedColumnFormula>SUMIF(tbl_InventorySupplier[stock_health_status], B11, tbl_InventorySupplier[supplier_stock])</calculatedColumnFormula>
      <totalsRowFormula>SUBTOTAL(109,F11:F13)</totalsRowFormula>
    </tableColumn>
    <tableColumn id="6" xr3:uid="{1D7BD35A-92B3-422A-986C-929BB05A5155}" name="Recommended Route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675A86-1967-487E-BDBE-54F99A638C8E}" name="tbl_CategoryMargin" displayName="tbl_CategoryMargin" ref="B17:H28" totalsRowCount="1">
  <autoFilter ref="B17:H27" xr:uid="{AF675A86-1967-487E-BDBE-54F99A638C8E}"/>
  <tableColumns count="7">
    <tableColumn id="1" xr3:uid="{E4F925FA-F0D5-4A0F-BDE2-220BEE6F8B5C}" name="Product Category" totalsRowLabel="Total"/>
    <tableColumn id="2" xr3:uid="{54F1D324-B042-4EF0-948F-0F75C3FB5FF5}" name="SKU Count" totalsRowFunction="custom" dataDxfId="49">
      <calculatedColumnFormula>COUNTIF(tbl_InventorySupplier[category], B18)</calculatedColumnFormula>
      <totalsRowFormula>SUBTOTAL(109,C18:C27)</totalsRowFormula>
    </tableColumn>
    <tableColumn id="3" xr3:uid="{261C26B9-1F2E-469F-BBAF-BF697E9B58C3}" name="Internal Stock Value" totalsRowFunction="custom" dataDxfId="47" totalsRowDxfId="48">
      <calculatedColumnFormula array="1">SUMPRODUCT((tbl_InventorySupplier[category]=B18)*(tbl_InventorySupplier[internal_stock])*(tbl_InventorySupplier[current_supplier_cost]))</calculatedColumnFormula>
      <totalsRowFormula>SUBTOTAL(109,D18:D27)</totalsRowFormula>
    </tableColumn>
    <tableColumn id="4" xr3:uid="{9FF265FD-38EE-4CA4-90E9-2238C9795980}" name="Weight on Internal Stock %" dataDxfId="46">
      <calculatedColumnFormula>D18 / $D$28</calculatedColumnFormula>
    </tableColumn>
    <tableColumn id="5" xr3:uid="{58F2C37C-AA16-408A-A96A-C7B2D2F696D5}" name="Weighted Margin % " dataDxfId="44" totalsRowDxfId="45">
      <calculatedColumnFormula array="1" xml:space="preserve"> 1 - (D18 / SUMPRODUCT((tbl_InventorySupplier[category]=B18) * tbl_InventorySupplier[internal_stock] * tbl_InventorySupplier[retail_price]))</calculatedColumnFormula>
    </tableColumn>
    <tableColumn id="6" xr3:uid="{5D53BF9C-2940-4653-B3F5-1128751E54DC}" name="Reorder Alert SKUs" totalsRowFunction="custom" dataDxfId="42" totalsRowDxfId="43">
      <calculatedColumnFormula array="1">SUMPRODUCT((tbl_InventorySupplier[category]=B18) * (tbl_InventorySupplier[internal_stock] &lt;= tbl_InventorySupplier[reorder_point]))</calculatedColumnFormula>
      <totalsRowFormula>SUBTOTAL(109,G18:G27)</totalsRowFormula>
    </tableColumn>
    <tableColumn id="7" xr3:uid="{C05AEE15-BF2F-4BAB-BF71-E5EA91F4D673}" name="Average Ticket Price" dataDxfId="41">
      <calculatedColumnFormula>AVERAGEIFS(tbl_InventorySupplier[retail_price], tbl_InventorySupplier[category], B18, tbl_InventorySupplier[retail_price], "&gt;0")</calculatedColumnFormula>
    </tableColumn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9337BE-8A78-4831-9FB8-3F7EF42232E5}" name="tbl_RequiredReorderBudget" displayName="tbl_RequiredReorderBudget" ref="B59:F62" totalsRowCount="1" headerRowDxfId="40">
  <autoFilter ref="B59:F61" xr:uid="{FB9337BE-8A78-4831-9FB8-3F7EF42232E5}"/>
  <tableColumns count="5">
    <tableColumn id="1" xr3:uid="{2E6C2194-366A-4037-A0EA-C56B7FA8E32A}" name="Stock Alert Status" totalsRowLabel="Total"/>
    <tableColumn id="2" xr3:uid="{5BA54E51-7343-4FEF-933A-7EC83BB43A26}" name="SKU Count" totalsRowFunction="custom">
      <calculatedColumnFormula>COUNTIF(tbl_InventorySupplier[stock_health_status], "*Below reorder point*")</calculatedColumnFormula>
      <totalsRowFormula>SUBTOTAL(109,C60:C61)</totalsRowFormula>
    </tableColumn>
    <tableColumn id="3" xr3:uid="{EF29A8D7-7262-4A42-AEC9-640FDBBEA2B1}" name="Current Stock Units" dataDxfId="39">
      <calculatedColumnFormula>SUMIF(tbl_InventorySupplier[stock_health_status], "*Below reorder point*", tbl_InventorySupplier[internal_stock])</calculatedColumnFormula>
    </tableColumn>
    <tableColumn id="4" xr3:uid="{8B8D8F17-CF1F-4698-B6D7-3779FC28BD3C}" name="Reorder Units" totalsRowFunction="custom" dataDxfId="38">
      <calculatedColumnFormula>SUMIF(tbl_InventorySupplier[stock_health_status], "*Below reorder point*", tbl_InventorySupplier[reorder_point])</calculatedColumnFormula>
      <totalsRowFormula>SUBTOTAL(109,E60:E61)</totalsRowFormula>
    </tableColumn>
    <tableColumn id="5" xr3:uid="{76B5A35E-0750-48BE-9E8A-5363849458EC}" name="Required Reorder Budget" totalsRowFunction="sum" dataDxfId="36" totalsRowDxfId="37">
      <calculatedColumnFormula array="1">SUMPRODUCT((tbl_InventorySupplier[internal_stock]&lt;tbl_InventorySupplier[reorder_point])*(tbl_InventorySupplier[reorder_point]-tbl_InventorySupplier[internal_stock])*(tbl_InventorySupplier[current_supplier_cost]))</calculatedColumnFormula>
    </tableColumn>
  </tableColumns>
  <tableStyleInfo name="TableStyleLight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464C9A-20BE-42EE-BE6B-05BA834D2D82}" name="tbl_IntegrationStatus" displayName="tbl_IntegrationStatus" ref="B71:G74" totalsRowCount="1">
  <autoFilter ref="B71:G73" xr:uid="{6A464C9A-20BE-42EE-BE6B-05BA834D2D82}"/>
  <tableColumns count="6">
    <tableColumn id="1" xr3:uid="{42CCAFB6-93CF-499F-8578-45E1958658EA}" name="Catalog Integration Status" totalsRowLabel="Total"/>
    <tableColumn id="2" xr3:uid="{F8BC12DC-B292-4E45-BC19-1F80DAB13643}" name="SKU Count" totalsRowFunction="custom" dataDxfId="35">
      <calculatedColumnFormula>COUNTIF(tbl_InventorySupplier[catalog_integration_status], "MATCHED")</calculatedColumnFormula>
      <totalsRowFormula>SUBTOTAL(109,C72:C73)</totalsRowFormula>
    </tableColumn>
    <tableColumn id="3" xr3:uid="{04994516-BB09-405A-845A-7788DD3C9920}" name="Internal Stock Units" totalsRowFunction="custom" dataDxfId="33" totalsRowDxfId="34">
      <calculatedColumnFormula>SUMIF(tbl_InventorySupplier[catalog_integration_status], "MATCHED", tbl_InventorySupplier[internal_stock])</calculatedColumnFormula>
      <totalsRowFormula>SUBTOTAL(109,D72:D73)</totalsRowFormula>
    </tableColumn>
    <tableColumn id="4" xr3:uid="{49752B57-811C-41E2-AB1E-5BF743A925B7}" name="Internal Stock Value" totalsRowFunction="custom" dataDxfId="31" totalsRowDxfId="32">
      <calculatedColumnFormula array="1">SUMPRODUCT(--(tbl_InventorySupplier[catalog_integration_status]="MATCHED"), tbl_InventorySupplier[internal_stock], tbl_InventorySupplier[current_supplier_cost])</calculatedColumnFormula>
      <totalsRowFormula>SUBTOTAL(109,E72:E73)</totalsRowFormula>
    </tableColumn>
    <tableColumn id="5" xr3:uid="{DB1EE19D-A177-4AF3-9DA8-0E62BD3F343F}" name="Supplier Stock Units" totalsRowFunction="custom" dataDxfId="29" totalsRowDxfId="30">
      <calculatedColumnFormula>SUMIF(tbl_InventorySupplier[catalog_integration_status], "MATCHED", tbl_InventorySupplier[supplier_stock])</calculatedColumnFormula>
      <totalsRowFormula>SUBTOTAL(109,F72:F73)</totalsRowFormula>
    </tableColumn>
    <tableColumn id="6" xr3:uid="{D22BC1A2-C346-4097-B013-CA776AD28307}" name="Supplier Stock Value" totalsRowFunction="custom" dataDxfId="27" totalsRowDxfId="28">
      <calculatedColumnFormula array="1">SUMPRODUCT((tbl_InventorySupplier[catalog_integration_status]="SUPPLIER ONLY") * (tbl_InventorySupplier[supplier_stock]) * (_xlfn.NUMBERVALUE(SUBSTITUTE(SUBSTITUTE(tbl_InventorySupplier[current_supplier_cost], "€", ""), " ", ""))))</calculatedColumnFormula>
      <totalsRowFormula>SUBTOTAL(109,G72:G73)</totalsRowFormula>
    </tableColumn>
  </tableColumns>
  <tableStyleInfo name="TableStyleLight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026118-8063-452E-B965-D2C8CCE89B12}" name="tbl_CategoryLeverageStatus" displayName="tbl_CategoryLeverageStatus" ref="B31:F42" totalsRowCount="1">
  <autoFilter ref="B31:F41" xr:uid="{5C026118-8063-452E-B965-D2C8CCE89B12}"/>
  <tableColumns count="5">
    <tableColumn id="1" xr3:uid="{D415ED72-8469-4189-9FF3-DD9166D6EF96}" name="Product Category" totalsRowLabel="Total" dataDxfId="25" totalsRowDxfId="26"/>
    <tableColumn id="2" xr3:uid="{B07D71CB-BB74-46D2-B8D7-99CF00E31A8F}" name="Internal Stock Units" dataDxfId="24">
      <calculatedColumnFormula>SUMIFS(tbl_InventorySupplier[internal_stock], tbl_InventorySupplier[category], B32)</calculatedColumnFormula>
    </tableColumn>
    <tableColumn id="3" xr3:uid="{31E35F2B-62CF-48B3-B736-5AAF5DA65557}" name="Supplier Stock Units" dataDxfId="23">
      <calculatedColumnFormula>SUMIFS(tbl_InventorySupplier[supplier_stock], tbl_InventorySupplier[category], B32)</calculatedColumnFormula>
    </tableColumn>
    <tableColumn id="4" xr3:uid="{63240FD8-DBAC-4529-9713-3A9BFCB90FAD}" name="Supplier Leverage Ratio" dataDxfId="22">
      <calculatedColumnFormula>IF(C32=0, "N/A", D32 / C32)</calculatedColumnFormula>
    </tableColumn>
    <tableColumn id="5" xr3:uid="{A9B97214-5AF0-42EA-8A2C-F6D907AA0487}" name="Leverage Status" dataDxfId="21">
      <calculatedColumnFormula>IF(E32 ="N/A", "N/A", IF(E32&gt;=5, "Maximum Leverage", IF(E32&gt;=4.5, "High Potential", "Moderate Leverage")))</calculatedColumnFormula>
    </tableColumn>
  </tableColumns>
  <tableStyleInfo name="TableStyleLight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3D1F71-11AF-4682-9697-DA49540EBA58}" name="tbl_CategoryPriceTier" displayName="tbl_CategoryPriceTier" ref="B45:F56" totalsRowCount="1">
  <autoFilter ref="B45:F55" xr:uid="{063D1F71-11AF-4682-9697-DA49540EBA58}"/>
  <tableColumns count="5">
    <tableColumn id="1" xr3:uid="{3E08946D-301A-422E-88F5-F99929E58CCA}" name="Product Category" totalsRowLabel="Total" dataDxfId="19" totalsRowDxfId="20"/>
    <tableColumn id="2" xr3:uid="{B421A32C-996C-4B38-AFCA-7FA3AA8D4AF3}" name="Min Retail Price" dataDxfId="18"/>
    <tableColumn id="3" xr3:uid="{847AFCE2-DDA6-4974-AB01-7DD20ECBC06E}" name="Average Ticket Price" dataDxfId="16" totalsRowDxfId="17"/>
    <tableColumn id="4" xr3:uid="{94988AB0-04D0-406D-9010-6908EE0F329D}" name="Max Retail Price" dataDxfId="14" totalsRowDxfId="15">
      <calculatedColumnFormula>_xlfn.MAXIFS(tbl_InventorySupplier[retail_price], tbl_InventorySupplier[category], B46)</calculatedColumnFormula>
    </tableColumn>
    <tableColumn id="5" xr3:uid="{7D07410B-F9EA-42C6-BEDC-6400F0781700}" name="Price Tier" dataDxfId="13">
      <calculatedColumnFormula>IF(D46&gt;=70, "High Ticket", IF(D46&gt;=45, "Medium Ticket", "Low Ticket"))</calculatedColumnFormula>
    </tableColumn>
  </tableColumns>
  <tableStyleInfo name="TableStyleLight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0D36D3-3FD3-42BA-BF77-659862ACCDA4}" name="tbl_ActionableReorderBudget" displayName="tbl_ActionableReorderBudget" ref="B65:H68" totalsRowCount="1">
  <autoFilter ref="B65:H67" xr:uid="{EF0D36D3-3FD3-42BA-BF77-659862ACCDA4}"/>
  <tableColumns count="7">
    <tableColumn id="1" xr3:uid="{1A952CA9-DE56-4774-8571-D3ECBD4BFE3B}" name="Fulfillment Feasibility Tier" totalsRowLabel="Total"/>
    <tableColumn id="2" xr3:uid="{D53392F8-7DA0-4DCC-BCFC-B12AC6ADF47C}" name="SKU Count" totalsRowFunction="custom" dataDxfId="12">
      <calculatedColumnFormula array="1">SUMPRODUCT((tbl_InventorySupplier[internal_stock] &lt;= tbl_InventorySupplier[reorder_point]) * (tbl_InventorySupplier[supplier_stock] &gt;= (100 - tbl_InventorySupplier[internal_stock])))</calculatedColumnFormula>
      <totalsRowFormula>SUBTOTAL(109,C66:C67)</totalsRowFormula>
    </tableColumn>
    <tableColumn id="3" xr3:uid="{B44CD798-97D6-4578-92B5-7B3625003758}" name="Theoretical Reorder Need" totalsRowFunction="custom" dataDxfId="10" totalsRowDxfId="11">
      <calculatedColumnFormula array="1">SUMPRODUCT((tbl_InventorySupplier[internal_stock] &lt;= tbl_InventorySupplier[reorder_point]) * (tbl_InventorySupplier[supplier_stock] &gt;= (100 - tbl_InventorySupplier[internal_stock])) * (100 - tbl_InventorySupplier[internal_stock]))</calculatedColumnFormula>
      <totalsRowFormula>SUBTOTAL(109,D66:D67)</totalsRowFormula>
    </tableColumn>
    <tableColumn id="4" xr3:uid="{FC4B43B6-520D-4EC0-870B-518ED84077C2}" name="Fulfillable Units" totalsRowFunction="custom" dataDxfId="8" totalsRowDxfId="9">
      <calculatedColumnFormula array="1">SUMPRODUCT((tbl_InventorySupplier[internal_stock] &lt;= tbl_InventorySupplier[reorder_point]) * (tbl_InventorySupplier[supplier_stock] &gt;= (100 - tbl_InventorySupplier[internal_stock])) * (100 - tbl_InventorySupplier[internal_stock]))</calculatedColumnFormula>
      <totalsRowFormula>SUBTOTAL(109,E66:E67)</totalsRowFormula>
    </tableColumn>
    <tableColumn id="5" xr3:uid="{959A79C4-E5BA-442E-8B13-9DC9B8E16030}" name="Shortfall Units" totalsRowFunction="custom" dataDxfId="6" totalsRowDxfId="7">
      <calculatedColumnFormula>D66 - E66</calculatedColumnFormula>
      <totalsRowFormula>SUBTOTAL(109,F66:F67)</totalsRowFormula>
    </tableColumn>
    <tableColumn id="6" xr3:uid="{C8F51903-B422-4DC4-ACAD-7CDA96CACC08}" name="Fulfillment Capacity %" totalsRowFunction="custom" dataDxfId="4" totalsRowDxfId="5">
      <calculatedColumnFormula>E66 / D66</calculatedColumnFormula>
      <totalsRowFormula>E68/D68</totalsRowFormula>
    </tableColumn>
    <tableColumn id="7" xr3:uid="{ADA2D2CB-9ED3-4C7F-A55B-07C0B4071253}" name="Actionable Reorder Budget" totalsRowFunction="sum" dataDxfId="2" totalsRowDxfId="3">
      <calculatedColumnFormula array="1">SUMPRODUCT((tbl_InventorySupplier[internal_stock] &lt;= tbl_InventorySupplier[reorder_point]) * (tbl_InventorySupplier[supplier_stock] &gt;= (100 - tbl_InventorySupplier[internal_stock])) * (100 - tbl_InventorySupplier[internal_stock]) * tbl_InventorySupplier[current_supplier_cost])</calculatedColumnFormula>
    </tableColumn>
  </tableColumns>
  <tableStyleInfo name="TableStyleLight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A43AAE6-C9F5-4307-B937-A666D86A532D}" name="Table10" displayName="Table10" ref="E24:G29" totalsRowShown="0">
  <autoFilter ref="E24:G29" xr:uid="{0A43AAE6-C9F5-4307-B937-A666D86A532D}"/>
  <tableColumns count="3">
    <tableColumn id="1" xr3:uid="{F2C93B43-88F5-4587-93AA-3630359A449A}" name="VALUE"/>
    <tableColumn id="2" xr3:uid="{E15FCB16-7AF9-46A7-92C7-70BF658B9CEC}" name="HEALTHY" dataDxfId="1"/>
    <tableColumn id="3" xr3:uid="{B7520CB1-8B5C-4772-8D93-011761C7474E}" name="NO HEALTHY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0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8075-BDB4-4F86-8EC8-DB29E00B4D3F}">
  <dimension ref="A1:Q766"/>
  <sheetViews>
    <sheetView workbookViewId="0">
      <pane ySplit="1" topLeftCell="H2" activePane="bottomLeft" state="frozen"/>
      <selection pane="bottomLeft" activeCell="H3" sqref="H3"/>
    </sheetView>
  </sheetViews>
  <sheetFormatPr defaultRowHeight="15" customHeight="1" zeroHeight="1"/>
  <cols>
    <col min="1" max="1" width="19.140625" bestFit="1" customWidth="1"/>
    <col min="2" max="2" width="51" customWidth="1"/>
    <col min="3" max="3" width="12.140625" customWidth="1"/>
    <col min="4" max="4" width="27.7109375" bestFit="1" customWidth="1"/>
    <col min="5" max="5" width="13.5703125" style="1" bestFit="1" customWidth="1"/>
    <col min="6" max="6" width="23.28515625" style="1" bestFit="1" customWidth="1"/>
    <col min="7" max="7" width="30.5703125" style="1" bestFit="1" customWidth="1"/>
    <col min="8" max="8" width="29" style="2" bestFit="1" customWidth="1"/>
    <col min="9" max="9" width="24.140625" bestFit="1" customWidth="1"/>
    <col min="10" max="10" width="16.7109375" style="4" customWidth="1"/>
    <col min="11" max="11" width="16.140625" style="4" bestFit="1" customWidth="1"/>
    <col min="12" max="12" width="16.5703125" style="4" bestFit="1" customWidth="1"/>
    <col min="13" max="13" width="26.28515625" style="4" bestFit="1" customWidth="1"/>
    <col min="14" max="14" width="58.5703125" customWidth="1"/>
    <col min="15" max="15" width="32.140625" customWidth="1"/>
    <col min="16" max="16" width="18.42578125" customWidth="1"/>
    <col min="17" max="17" width="23.140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t="s">
        <v>13</v>
      </c>
      <c r="O1" s="12" t="s">
        <v>14</v>
      </c>
      <c r="P1" t="s">
        <v>15</v>
      </c>
    </row>
    <row r="2" spans="1:16">
      <c r="A2" t="s">
        <v>16</v>
      </c>
      <c r="D2" t="s">
        <v>17</v>
      </c>
      <c r="E2"/>
      <c r="F2" s="1">
        <v>25.48</v>
      </c>
      <c r="G2"/>
      <c r="H2"/>
      <c r="I2" t="s">
        <v>18</v>
      </c>
      <c r="J2" s="4">
        <v>0</v>
      </c>
      <c r="K2" s="4">
        <v>15</v>
      </c>
      <c r="L2" s="4">
        <v>29</v>
      </c>
      <c r="M2" s="4">
        <v>29</v>
      </c>
      <c r="N2" t="s">
        <v>19</v>
      </c>
      <c r="O2" t="s">
        <v>20</v>
      </c>
      <c r="P2" s="43" t="str">
        <f t="shared" ref="P2:P65" si="0">IF(COUNTIF($B$2:$B$506, B2)&gt;1, "DUPLICATE", "OK")</f>
        <v>OK</v>
      </c>
    </row>
    <row r="3" spans="1:16">
      <c r="A3" t="s">
        <v>21</v>
      </c>
      <c r="D3" t="s">
        <v>17</v>
      </c>
      <c r="E3"/>
      <c r="F3" s="1">
        <v>92.67</v>
      </c>
      <c r="G3"/>
      <c r="H3"/>
      <c r="I3" t="s">
        <v>18</v>
      </c>
      <c r="J3" s="4">
        <v>0</v>
      </c>
      <c r="K3" s="4">
        <v>15</v>
      </c>
      <c r="L3" s="4">
        <v>191</v>
      </c>
      <c r="M3" s="4">
        <v>191</v>
      </c>
      <c r="N3" t="s">
        <v>19</v>
      </c>
      <c r="O3" t="s">
        <v>20</v>
      </c>
      <c r="P3" s="4" t="str">
        <f t="shared" si="0"/>
        <v>OK</v>
      </c>
    </row>
    <row r="4" spans="1:16">
      <c r="A4" t="s">
        <v>22</v>
      </c>
      <c r="D4" t="s">
        <v>17</v>
      </c>
      <c r="E4"/>
      <c r="F4" s="1">
        <v>49.53</v>
      </c>
      <c r="G4"/>
      <c r="H4"/>
      <c r="I4" t="s">
        <v>18</v>
      </c>
      <c r="J4" s="4">
        <v>0</v>
      </c>
      <c r="K4" s="4">
        <v>15</v>
      </c>
      <c r="L4" s="4">
        <v>200</v>
      </c>
      <c r="M4" s="4">
        <v>200</v>
      </c>
      <c r="N4" t="s">
        <v>19</v>
      </c>
      <c r="O4" t="s">
        <v>20</v>
      </c>
      <c r="P4" s="4" t="str">
        <f t="shared" si="0"/>
        <v>OK</v>
      </c>
    </row>
    <row r="5" spans="1:16">
      <c r="A5" t="s">
        <v>23</v>
      </c>
      <c r="D5" t="s">
        <v>17</v>
      </c>
      <c r="E5"/>
      <c r="F5" s="1">
        <v>24.97</v>
      </c>
      <c r="G5"/>
      <c r="H5"/>
      <c r="I5" t="s">
        <v>18</v>
      </c>
      <c r="J5" s="4">
        <v>0</v>
      </c>
      <c r="K5" s="4">
        <v>15</v>
      </c>
      <c r="L5" s="4">
        <v>32</v>
      </c>
      <c r="M5" s="4">
        <v>32</v>
      </c>
      <c r="N5" t="s">
        <v>19</v>
      </c>
      <c r="O5" t="s">
        <v>20</v>
      </c>
      <c r="P5" s="4" t="str">
        <f t="shared" si="0"/>
        <v>OK</v>
      </c>
    </row>
    <row r="6" spans="1:16">
      <c r="A6" t="s">
        <v>24</v>
      </c>
      <c r="D6" t="s">
        <v>17</v>
      </c>
      <c r="E6"/>
      <c r="F6" s="1">
        <v>101.87</v>
      </c>
      <c r="G6"/>
      <c r="H6"/>
      <c r="I6" t="s">
        <v>18</v>
      </c>
      <c r="J6" s="4">
        <v>0</v>
      </c>
      <c r="K6" s="4">
        <v>15</v>
      </c>
      <c r="L6" s="4">
        <v>128</v>
      </c>
      <c r="M6" s="4">
        <v>128</v>
      </c>
      <c r="N6" t="s">
        <v>19</v>
      </c>
      <c r="O6" t="s">
        <v>20</v>
      </c>
      <c r="P6" s="4" t="str">
        <f t="shared" si="0"/>
        <v>OK</v>
      </c>
    </row>
    <row r="7" spans="1:16">
      <c r="A7" t="s">
        <v>25</v>
      </c>
      <c r="B7" t="s">
        <v>26</v>
      </c>
      <c r="C7" t="s">
        <v>27</v>
      </c>
      <c r="D7" t="s">
        <v>28</v>
      </c>
      <c r="E7" s="1">
        <v>78.31</v>
      </c>
      <c r="F7" s="1">
        <v>25.34</v>
      </c>
      <c r="G7" s="1">
        <v>52.97</v>
      </c>
      <c r="H7" s="2">
        <v>0.6764</v>
      </c>
      <c r="I7" t="s">
        <v>29</v>
      </c>
      <c r="J7" s="4">
        <v>33</v>
      </c>
      <c r="K7" s="4">
        <v>15</v>
      </c>
      <c r="L7" s="4">
        <v>44</v>
      </c>
      <c r="M7" s="4">
        <v>77</v>
      </c>
      <c r="N7" t="s">
        <v>30</v>
      </c>
      <c r="O7" t="s">
        <v>31</v>
      </c>
      <c r="P7" s="4" t="str">
        <f t="shared" si="0"/>
        <v>OK</v>
      </c>
    </row>
    <row r="8" spans="1:16">
      <c r="A8" t="s">
        <v>32</v>
      </c>
      <c r="B8" t="s">
        <v>33</v>
      </c>
      <c r="C8" t="s">
        <v>34</v>
      </c>
      <c r="D8" t="s">
        <v>28</v>
      </c>
      <c r="E8" s="1">
        <v>822.58</v>
      </c>
      <c r="F8" s="1">
        <v>287.7</v>
      </c>
      <c r="G8" s="1">
        <v>534.88</v>
      </c>
      <c r="H8" s="2">
        <v>0.6502</v>
      </c>
      <c r="I8" t="s">
        <v>29</v>
      </c>
      <c r="J8" s="4">
        <v>32</v>
      </c>
      <c r="K8" s="4">
        <v>15</v>
      </c>
      <c r="L8" s="4">
        <v>136</v>
      </c>
      <c r="M8" s="4">
        <v>168</v>
      </c>
      <c r="N8" t="s">
        <v>30</v>
      </c>
      <c r="O8" t="s">
        <v>31</v>
      </c>
      <c r="P8" s="4" t="str">
        <f t="shared" si="0"/>
        <v>OK</v>
      </c>
    </row>
    <row r="9" spans="1:16">
      <c r="A9" t="s">
        <v>35</v>
      </c>
      <c r="B9" t="s">
        <v>36</v>
      </c>
      <c r="C9" t="s">
        <v>34</v>
      </c>
      <c r="D9" t="s">
        <v>28</v>
      </c>
      <c r="E9" s="1">
        <v>363.55</v>
      </c>
      <c r="F9" s="1">
        <v>126.68</v>
      </c>
      <c r="G9" s="1">
        <v>236.87</v>
      </c>
      <c r="H9" s="2">
        <v>0.65150000000000008</v>
      </c>
      <c r="I9" t="s">
        <v>29</v>
      </c>
      <c r="J9" s="4">
        <v>46</v>
      </c>
      <c r="K9" s="4">
        <v>15</v>
      </c>
      <c r="L9" s="4">
        <v>461</v>
      </c>
      <c r="M9" s="4">
        <v>507</v>
      </c>
      <c r="N9" t="s">
        <v>30</v>
      </c>
      <c r="O9" t="s">
        <v>31</v>
      </c>
      <c r="P9" s="4" t="str">
        <f t="shared" si="0"/>
        <v>OK</v>
      </c>
    </row>
    <row r="10" spans="1:16">
      <c r="A10" t="s">
        <v>37</v>
      </c>
      <c r="B10" t="s">
        <v>38</v>
      </c>
      <c r="C10" t="s">
        <v>39</v>
      </c>
      <c r="D10" t="s">
        <v>28</v>
      </c>
      <c r="E10" s="1">
        <v>20.85</v>
      </c>
      <c r="F10" s="1">
        <v>14.46</v>
      </c>
      <c r="G10" s="1">
        <v>6.39</v>
      </c>
      <c r="H10" s="2">
        <v>0.30649999999999999</v>
      </c>
      <c r="I10" t="s">
        <v>29</v>
      </c>
      <c r="J10" s="4">
        <v>16</v>
      </c>
      <c r="K10" s="4">
        <v>15</v>
      </c>
      <c r="L10" s="4">
        <v>194</v>
      </c>
      <c r="M10" s="4">
        <v>210</v>
      </c>
      <c r="N10" t="s">
        <v>30</v>
      </c>
      <c r="O10" t="s">
        <v>31</v>
      </c>
      <c r="P10" s="4" t="str">
        <f t="shared" si="0"/>
        <v>OK</v>
      </c>
    </row>
    <row r="11" spans="1:16">
      <c r="A11" t="s">
        <v>40</v>
      </c>
      <c r="B11" t="s">
        <v>41</v>
      </c>
      <c r="C11" t="s">
        <v>34</v>
      </c>
      <c r="D11" t="s">
        <v>28</v>
      </c>
      <c r="E11" s="1">
        <v>104.84</v>
      </c>
      <c r="F11" s="1">
        <v>56.75</v>
      </c>
      <c r="G11" s="1">
        <v>48.09</v>
      </c>
      <c r="H11" s="2">
        <v>0.4587</v>
      </c>
      <c r="I11" t="s">
        <v>29</v>
      </c>
      <c r="J11" s="4">
        <v>92</v>
      </c>
      <c r="K11" s="4">
        <v>15</v>
      </c>
      <c r="L11" s="4">
        <v>170</v>
      </c>
      <c r="M11" s="4">
        <v>262</v>
      </c>
      <c r="N11" t="s">
        <v>30</v>
      </c>
      <c r="O11" t="s">
        <v>31</v>
      </c>
      <c r="P11" s="4" t="str">
        <f t="shared" si="0"/>
        <v>OK</v>
      </c>
    </row>
    <row r="12" spans="1:16">
      <c r="A12" t="s">
        <v>42</v>
      </c>
      <c r="B12" t="s">
        <v>43</v>
      </c>
      <c r="C12" t="s">
        <v>34</v>
      </c>
      <c r="D12" t="s">
        <v>28</v>
      </c>
      <c r="E12" s="1">
        <v>490.43</v>
      </c>
      <c r="F12" s="1">
        <v>199.23</v>
      </c>
      <c r="G12" s="1">
        <v>291.2</v>
      </c>
      <c r="H12" s="2">
        <v>0.59379999999999999</v>
      </c>
      <c r="I12" t="s">
        <v>29</v>
      </c>
      <c r="J12" s="4">
        <v>88</v>
      </c>
      <c r="K12" s="4">
        <v>15</v>
      </c>
      <c r="L12" s="4">
        <v>26</v>
      </c>
      <c r="M12" s="4">
        <v>114</v>
      </c>
      <c r="N12" t="s">
        <v>30</v>
      </c>
      <c r="O12" t="s">
        <v>31</v>
      </c>
      <c r="P12" s="4" t="str">
        <f t="shared" si="0"/>
        <v>OK</v>
      </c>
    </row>
    <row r="13" spans="1:16">
      <c r="A13" t="s">
        <v>44</v>
      </c>
      <c r="B13" t="s">
        <v>45</v>
      </c>
      <c r="C13" t="s">
        <v>39</v>
      </c>
      <c r="D13" t="s">
        <v>28</v>
      </c>
      <c r="E13" s="1">
        <v>54.23</v>
      </c>
      <c r="F13" s="1">
        <v>20.170000000000002</v>
      </c>
      <c r="G13" s="1">
        <v>34.06</v>
      </c>
      <c r="H13" s="2">
        <v>0.62809999999999999</v>
      </c>
      <c r="I13" t="s">
        <v>29</v>
      </c>
      <c r="J13" s="4">
        <v>97</v>
      </c>
      <c r="K13" s="4">
        <v>15</v>
      </c>
      <c r="L13" s="4">
        <v>172</v>
      </c>
      <c r="M13" s="4">
        <v>269</v>
      </c>
      <c r="N13" t="s">
        <v>30</v>
      </c>
      <c r="O13" t="s">
        <v>31</v>
      </c>
      <c r="P13" s="4" t="str">
        <f t="shared" si="0"/>
        <v>OK</v>
      </c>
    </row>
    <row r="14" spans="1:16">
      <c r="A14" t="s">
        <v>46</v>
      </c>
      <c r="B14" t="s">
        <v>47</v>
      </c>
      <c r="C14" t="s">
        <v>34</v>
      </c>
      <c r="D14" t="s">
        <v>28</v>
      </c>
      <c r="E14" s="1">
        <v>353.83</v>
      </c>
      <c r="F14" s="1">
        <v>195.47</v>
      </c>
      <c r="G14" s="1">
        <v>158.36000000000001</v>
      </c>
      <c r="H14" s="2">
        <v>0.4476</v>
      </c>
      <c r="I14" t="s">
        <v>29</v>
      </c>
      <c r="J14" s="4">
        <v>83</v>
      </c>
      <c r="K14" s="4">
        <v>15</v>
      </c>
      <c r="L14" s="4">
        <v>359</v>
      </c>
      <c r="M14" s="4">
        <v>442</v>
      </c>
      <c r="N14" t="s">
        <v>30</v>
      </c>
      <c r="O14" t="s">
        <v>31</v>
      </c>
      <c r="P14" s="4" t="str">
        <f t="shared" si="0"/>
        <v>OK</v>
      </c>
    </row>
    <row r="15" spans="1:16">
      <c r="A15" t="s">
        <v>48</v>
      </c>
      <c r="B15" t="s">
        <v>49</v>
      </c>
      <c r="C15" t="s">
        <v>34</v>
      </c>
      <c r="D15" t="s">
        <v>28</v>
      </c>
      <c r="E15" s="1">
        <v>36.93</v>
      </c>
      <c r="F15" s="1">
        <v>15.15</v>
      </c>
      <c r="G15" s="1">
        <v>21.78</v>
      </c>
      <c r="H15" s="2">
        <v>0.58979999999999999</v>
      </c>
      <c r="I15" t="s">
        <v>29</v>
      </c>
      <c r="J15" s="4">
        <v>16</v>
      </c>
      <c r="K15" s="4">
        <v>15</v>
      </c>
      <c r="L15" s="4">
        <v>0</v>
      </c>
      <c r="M15" s="4">
        <v>16</v>
      </c>
      <c r="N15" t="s">
        <v>30</v>
      </c>
      <c r="O15" t="s">
        <v>31</v>
      </c>
      <c r="P15" s="4" t="str">
        <f t="shared" si="0"/>
        <v>OK</v>
      </c>
    </row>
    <row r="16" spans="1:16">
      <c r="A16" t="s">
        <v>50</v>
      </c>
      <c r="B16" t="s">
        <v>51</v>
      </c>
      <c r="C16" t="s">
        <v>34</v>
      </c>
      <c r="D16" t="s">
        <v>28</v>
      </c>
      <c r="E16" s="1">
        <v>519.78</v>
      </c>
      <c r="F16" s="1">
        <v>286.44</v>
      </c>
      <c r="G16" s="1">
        <v>233.34</v>
      </c>
      <c r="H16" s="2">
        <v>0.44890000000000002</v>
      </c>
      <c r="I16" t="s">
        <v>29</v>
      </c>
      <c r="J16" s="4">
        <v>34</v>
      </c>
      <c r="K16" s="4">
        <v>15</v>
      </c>
      <c r="L16" s="4">
        <v>396</v>
      </c>
      <c r="M16" s="4">
        <v>430</v>
      </c>
      <c r="N16" t="s">
        <v>30</v>
      </c>
      <c r="O16" t="s">
        <v>31</v>
      </c>
      <c r="P16" s="4" t="str">
        <f t="shared" si="0"/>
        <v>OK</v>
      </c>
    </row>
    <row r="17" spans="1:16">
      <c r="A17" t="s">
        <v>52</v>
      </c>
      <c r="B17" t="s">
        <v>53</v>
      </c>
      <c r="C17" t="s">
        <v>34</v>
      </c>
      <c r="D17" t="s">
        <v>28</v>
      </c>
      <c r="E17" s="1">
        <v>140.56</v>
      </c>
      <c r="F17" s="1">
        <v>47.71</v>
      </c>
      <c r="G17" s="1">
        <v>92.85</v>
      </c>
      <c r="H17" s="2">
        <v>0.66060000000000008</v>
      </c>
      <c r="I17" t="s">
        <v>29</v>
      </c>
      <c r="J17" s="4">
        <v>61</v>
      </c>
      <c r="K17" s="4">
        <v>15</v>
      </c>
      <c r="L17" s="4">
        <v>305</v>
      </c>
      <c r="M17" s="4">
        <v>366</v>
      </c>
      <c r="N17" t="s">
        <v>30</v>
      </c>
      <c r="O17" t="s">
        <v>31</v>
      </c>
      <c r="P17" s="4" t="str">
        <f t="shared" si="0"/>
        <v>OK</v>
      </c>
    </row>
    <row r="18" spans="1:16">
      <c r="A18" t="s">
        <v>54</v>
      </c>
      <c r="B18" t="s">
        <v>55</v>
      </c>
      <c r="C18" t="s">
        <v>34</v>
      </c>
      <c r="D18" t="s">
        <v>28</v>
      </c>
      <c r="E18" s="1">
        <v>575.17999999999995</v>
      </c>
      <c r="F18" s="1">
        <v>220.68</v>
      </c>
      <c r="G18" s="1">
        <v>354.5</v>
      </c>
      <c r="H18" s="2">
        <v>0.61630000000000007</v>
      </c>
      <c r="I18" t="s">
        <v>29</v>
      </c>
      <c r="J18" s="4">
        <v>57</v>
      </c>
      <c r="K18" s="4">
        <v>15</v>
      </c>
      <c r="L18" s="4">
        <v>3</v>
      </c>
      <c r="M18" s="4">
        <v>60</v>
      </c>
      <c r="N18" t="s">
        <v>30</v>
      </c>
      <c r="O18" t="s">
        <v>31</v>
      </c>
      <c r="P18" s="4" t="str">
        <f t="shared" si="0"/>
        <v>OK</v>
      </c>
    </row>
    <row r="19" spans="1:16">
      <c r="A19" t="s">
        <v>56</v>
      </c>
      <c r="B19" t="s">
        <v>57</v>
      </c>
      <c r="C19" t="s">
        <v>27</v>
      </c>
      <c r="D19" t="s">
        <v>28</v>
      </c>
      <c r="F19" s="1">
        <v>6.59</v>
      </c>
      <c r="H19" s="1"/>
      <c r="I19" t="s">
        <v>18</v>
      </c>
      <c r="J19" s="4">
        <v>85</v>
      </c>
      <c r="K19" s="4">
        <v>15</v>
      </c>
      <c r="L19" s="4">
        <v>229</v>
      </c>
      <c r="M19" s="4">
        <v>314</v>
      </c>
      <c r="N19" t="s">
        <v>30</v>
      </c>
      <c r="O19" t="s">
        <v>31</v>
      </c>
      <c r="P19" s="4" t="str">
        <f t="shared" si="0"/>
        <v>OK</v>
      </c>
    </row>
    <row r="20" spans="1:16">
      <c r="A20" t="s">
        <v>58</v>
      </c>
      <c r="B20" t="s">
        <v>59</v>
      </c>
      <c r="C20" t="s">
        <v>34</v>
      </c>
      <c r="D20" t="s">
        <v>28</v>
      </c>
      <c r="E20" s="1">
        <v>51.31</v>
      </c>
      <c r="F20" s="1">
        <v>17.75</v>
      </c>
      <c r="G20" s="1">
        <v>33.56</v>
      </c>
      <c r="H20" s="2">
        <v>0.65410000000000001</v>
      </c>
      <c r="I20" t="s">
        <v>29</v>
      </c>
      <c r="J20" s="4">
        <v>83</v>
      </c>
      <c r="K20" s="4">
        <v>15</v>
      </c>
      <c r="L20" s="4">
        <v>22</v>
      </c>
      <c r="M20" s="4">
        <v>105</v>
      </c>
      <c r="N20" t="s">
        <v>30</v>
      </c>
      <c r="O20" t="s">
        <v>31</v>
      </c>
      <c r="P20" s="4" t="str">
        <f t="shared" si="0"/>
        <v>OK</v>
      </c>
    </row>
    <row r="21" spans="1:16">
      <c r="A21" t="s">
        <v>60</v>
      </c>
      <c r="B21" t="s">
        <v>61</v>
      </c>
      <c r="C21" t="s">
        <v>34</v>
      </c>
      <c r="D21" t="s">
        <v>28</v>
      </c>
      <c r="E21" s="1">
        <v>91.71</v>
      </c>
      <c r="F21" s="1">
        <v>31.34</v>
      </c>
      <c r="G21" s="1">
        <v>60.37</v>
      </c>
      <c r="H21" s="2">
        <v>0.6583</v>
      </c>
      <c r="I21" t="s">
        <v>29</v>
      </c>
      <c r="J21" s="4">
        <v>31</v>
      </c>
      <c r="K21" s="4">
        <v>15</v>
      </c>
      <c r="L21" s="4">
        <v>72</v>
      </c>
      <c r="M21" s="4">
        <v>103</v>
      </c>
      <c r="N21" t="s">
        <v>30</v>
      </c>
      <c r="O21" t="s">
        <v>31</v>
      </c>
      <c r="P21" s="4" t="str">
        <f t="shared" si="0"/>
        <v>OK</v>
      </c>
    </row>
    <row r="22" spans="1:16">
      <c r="A22" t="s">
        <v>62</v>
      </c>
      <c r="B22" t="s">
        <v>63</v>
      </c>
      <c r="C22" t="s">
        <v>64</v>
      </c>
      <c r="D22" t="s">
        <v>28</v>
      </c>
      <c r="E22" s="1">
        <v>29.72</v>
      </c>
      <c r="F22" s="1">
        <v>10.6</v>
      </c>
      <c r="G22" s="1">
        <v>19.12</v>
      </c>
      <c r="H22" s="2">
        <v>0.64329999999999998</v>
      </c>
      <c r="I22" t="s">
        <v>29</v>
      </c>
      <c r="J22" s="4">
        <v>94</v>
      </c>
      <c r="K22" s="4">
        <v>15</v>
      </c>
      <c r="L22" s="4">
        <v>464</v>
      </c>
      <c r="M22" s="4">
        <v>558</v>
      </c>
      <c r="N22" t="s">
        <v>30</v>
      </c>
      <c r="O22" t="s">
        <v>31</v>
      </c>
      <c r="P22" s="4" t="str">
        <f t="shared" si="0"/>
        <v>OK</v>
      </c>
    </row>
    <row r="23" spans="1:16">
      <c r="A23" t="s">
        <v>65</v>
      </c>
      <c r="B23" t="s">
        <v>66</v>
      </c>
      <c r="C23" t="s">
        <v>34</v>
      </c>
      <c r="D23" t="s">
        <v>28</v>
      </c>
      <c r="E23" s="1">
        <v>26.08</v>
      </c>
      <c r="F23" s="1">
        <v>8.07</v>
      </c>
      <c r="G23" s="1">
        <v>18.010000000000002</v>
      </c>
      <c r="H23" s="2">
        <v>0.69059999999999999</v>
      </c>
      <c r="I23" t="s">
        <v>29</v>
      </c>
      <c r="J23" s="4">
        <v>36</v>
      </c>
      <c r="K23" s="4">
        <v>15</v>
      </c>
      <c r="L23" s="4">
        <v>466</v>
      </c>
      <c r="M23" s="4">
        <v>502</v>
      </c>
      <c r="N23" t="s">
        <v>30</v>
      </c>
      <c r="O23" t="s">
        <v>31</v>
      </c>
      <c r="P23" s="4" t="str">
        <f t="shared" si="0"/>
        <v>OK</v>
      </c>
    </row>
    <row r="24" spans="1:16">
      <c r="A24" t="s">
        <v>67</v>
      </c>
      <c r="B24" t="s">
        <v>68</v>
      </c>
      <c r="C24" t="s">
        <v>34</v>
      </c>
      <c r="D24" t="s">
        <v>28</v>
      </c>
      <c r="E24" s="1">
        <v>74.790000000000006</v>
      </c>
      <c r="F24" s="1">
        <v>36.93</v>
      </c>
      <c r="G24" s="1">
        <v>37.86</v>
      </c>
      <c r="H24" s="2">
        <v>0.50619999999999998</v>
      </c>
      <c r="I24" t="s">
        <v>29</v>
      </c>
      <c r="J24" s="4">
        <v>46</v>
      </c>
      <c r="K24" s="4">
        <v>15</v>
      </c>
      <c r="L24" s="4">
        <v>244</v>
      </c>
      <c r="M24" s="4">
        <v>290</v>
      </c>
      <c r="N24" t="s">
        <v>30</v>
      </c>
      <c r="O24" t="s">
        <v>31</v>
      </c>
      <c r="P24" s="4" t="str">
        <f t="shared" si="0"/>
        <v>OK</v>
      </c>
    </row>
    <row r="25" spans="1:16">
      <c r="A25" t="s">
        <v>69</v>
      </c>
      <c r="B25" t="s">
        <v>70</v>
      </c>
      <c r="C25" t="s">
        <v>39</v>
      </c>
      <c r="D25" t="s">
        <v>28</v>
      </c>
      <c r="E25" s="1">
        <v>41.39</v>
      </c>
      <c r="F25" s="1">
        <v>17.36</v>
      </c>
      <c r="G25" s="1">
        <v>24.03</v>
      </c>
      <c r="H25" s="2">
        <v>0.5806</v>
      </c>
      <c r="I25" t="s">
        <v>29</v>
      </c>
      <c r="J25" s="4">
        <v>42</v>
      </c>
      <c r="K25" s="4">
        <v>15</v>
      </c>
      <c r="L25" s="4">
        <v>428</v>
      </c>
      <c r="M25" s="4">
        <v>470</v>
      </c>
      <c r="N25" t="s">
        <v>30</v>
      </c>
      <c r="O25" t="s">
        <v>31</v>
      </c>
      <c r="P25" s="4" t="str">
        <f t="shared" si="0"/>
        <v>OK</v>
      </c>
    </row>
    <row r="26" spans="1:16">
      <c r="A26" t="s">
        <v>71</v>
      </c>
      <c r="B26" t="s">
        <v>72</v>
      </c>
      <c r="C26" t="s">
        <v>34</v>
      </c>
      <c r="D26" t="s">
        <v>28</v>
      </c>
      <c r="E26" s="1">
        <v>16.559999999999999</v>
      </c>
      <c r="F26" s="1">
        <v>5.27</v>
      </c>
      <c r="G26" s="1">
        <v>11.29</v>
      </c>
      <c r="H26" s="2">
        <v>0.68179999999999996</v>
      </c>
      <c r="I26" t="s">
        <v>29</v>
      </c>
      <c r="J26" s="4">
        <v>15</v>
      </c>
      <c r="K26" s="4">
        <v>15</v>
      </c>
      <c r="L26" s="4">
        <v>156</v>
      </c>
      <c r="M26" s="4">
        <v>171</v>
      </c>
      <c r="N26" t="s">
        <v>73</v>
      </c>
      <c r="O26" t="s">
        <v>31</v>
      </c>
      <c r="P26" s="4" t="str">
        <f t="shared" si="0"/>
        <v>OK</v>
      </c>
    </row>
    <row r="27" spans="1:16">
      <c r="A27" t="s">
        <v>74</v>
      </c>
      <c r="B27" t="s">
        <v>75</v>
      </c>
      <c r="C27" t="s">
        <v>34</v>
      </c>
      <c r="D27" t="s">
        <v>28</v>
      </c>
      <c r="E27" s="1">
        <v>148.07</v>
      </c>
      <c r="F27" s="1">
        <v>67.31</v>
      </c>
      <c r="G27" s="1">
        <v>80.760000000000005</v>
      </c>
      <c r="H27" s="2">
        <v>0.5454</v>
      </c>
      <c r="I27" t="s">
        <v>29</v>
      </c>
      <c r="J27" s="4">
        <v>86</v>
      </c>
      <c r="K27" s="4">
        <v>15</v>
      </c>
      <c r="L27" s="4">
        <v>410</v>
      </c>
      <c r="M27" s="4">
        <v>496</v>
      </c>
      <c r="N27" t="s">
        <v>30</v>
      </c>
      <c r="O27" t="s">
        <v>31</v>
      </c>
      <c r="P27" s="4" t="str">
        <f t="shared" si="0"/>
        <v>DUPLICATE</v>
      </c>
    </row>
    <row r="28" spans="1:16">
      <c r="A28" t="s">
        <v>76</v>
      </c>
      <c r="B28" t="s">
        <v>77</v>
      </c>
      <c r="C28" t="s">
        <v>78</v>
      </c>
      <c r="D28" t="s">
        <v>28</v>
      </c>
      <c r="E28" s="1">
        <v>18.940000000000001</v>
      </c>
      <c r="F28" s="1">
        <v>9.8000000000000007</v>
      </c>
      <c r="G28" s="1">
        <v>9.14</v>
      </c>
      <c r="H28" s="2">
        <v>0.48259999999999997</v>
      </c>
      <c r="I28" t="s">
        <v>29</v>
      </c>
      <c r="J28" s="4">
        <v>81</v>
      </c>
      <c r="K28" s="4">
        <v>15</v>
      </c>
      <c r="L28" s="4">
        <v>420</v>
      </c>
      <c r="M28" s="4">
        <v>501</v>
      </c>
      <c r="N28" t="s">
        <v>30</v>
      </c>
      <c r="O28" t="s">
        <v>31</v>
      </c>
      <c r="P28" s="4" t="str">
        <f t="shared" si="0"/>
        <v>OK</v>
      </c>
    </row>
    <row r="29" spans="1:16">
      <c r="A29" t="s">
        <v>79</v>
      </c>
      <c r="B29" t="s">
        <v>80</v>
      </c>
      <c r="C29" t="s">
        <v>34</v>
      </c>
      <c r="D29" t="s">
        <v>28</v>
      </c>
      <c r="E29" s="1">
        <v>349</v>
      </c>
      <c r="F29" s="1">
        <v>200.33</v>
      </c>
      <c r="G29" s="1">
        <v>148.66999999999999</v>
      </c>
      <c r="H29" s="2">
        <v>0.42599999999999999</v>
      </c>
      <c r="I29" t="s">
        <v>29</v>
      </c>
      <c r="J29" s="4">
        <v>78</v>
      </c>
      <c r="K29" s="4">
        <v>15</v>
      </c>
      <c r="L29" s="4">
        <v>269</v>
      </c>
      <c r="M29" s="4">
        <v>347</v>
      </c>
      <c r="N29" t="s">
        <v>30</v>
      </c>
      <c r="O29" t="s">
        <v>31</v>
      </c>
      <c r="P29" s="4" t="str">
        <f t="shared" si="0"/>
        <v>DUPLICATE</v>
      </c>
    </row>
    <row r="30" spans="1:16">
      <c r="A30" t="s">
        <v>81</v>
      </c>
      <c r="B30" t="s">
        <v>82</v>
      </c>
      <c r="C30" t="s">
        <v>34</v>
      </c>
      <c r="D30" t="s">
        <v>28</v>
      </c>
      <c r="E30" s="1">
        <v>549</v>
      </c>
      <c r="F30" s="1">
        <v>241.12</v>
      </c>
      <c r="G30" s="1">
        <v>307.88</v>
      </c>
      <c r="H30" s="2">
        <v>0.56079999999999997</v>
      </c>
      <c r="I30" t="s">
        <v>29</v>
      </c>
      <c r="J30" s="4">
        <v>2</v>
      </c>
      <c r="K30" s="4">
        <v>15</v>
      </c>
      <c r="L30" s="4">
        <v>491</v>
      </c>
      <c r="M30" s="4">
        <v>493</v>
      </c>
      <c r="N30" t="s">
        <v>73</v>
      </c>
      <c r="O30" t="s">
        <v>31</v>
      </c>
      <c r="P30" s="4" t="str">
        <f t="shared" si="0"/>
        <v>OK</v>
      </c>
    </row>
    <row r="31" spans="1:16">
      <c r="A31" t="s">
        <v>83</v>
      </c>
      <c r="B31" t="s">
        <v>84</v>
      </c>
      <c r="C31" t="s">
        <v>85</v>
      </c>
      <c r="D31" t="s">
        <v>28</v>
      </c>
      <c r="E31" s="1">
        <v>67.73</v>
      </c>
      <c r="F31" s="1">
        <v>29.93</v>
      </c>
      <c r="G31" s="1">
        <v>37.799999999999997</v>
      </c>
      <c r="H31" s="2">
        <v>0.55810000000000004</v>
      </c>
      <c r="I31" t="s">
        <v>29</v>
      </c>
      <c r="J31" s="4">
        <v>23</v>
      </c>
      <c r="K31" s="4">
        <v>15</v>
      </c>
      <c r="L31" s="4">
        <v>203</v>
      </c>
      <c r="M31" s="4">
        <v>226</v>
      </c>
      <c r="N31" t="s">
        <v>30</v>
      </c>
      <c r="O31" t="s">
        <v>31</v>
      </c>
      <c r="P31" s="4" t="str">
        <f t="shared" si="0"/>
        <v>OK</v>
      </c>
    </row>
    <row r="32" spans="1:16">
      <c r="A32" t="s">
        <v>86</v>
      </c>
      <c r="B32" t="s">
        <v>87</v>
      </c>
      <c r="C32" t="s">
        <v>78</v>
      </c>
      <c r="D32" t="s">
        <v>28</v>
      </c>
      <c r="E32" s="1">
        <v>23.91</v>
      </c>
      <c r="F32" s="1">
        <v>16.78</v>
      </c>
      <c r="G32" s="1">
        <v>7.13</v>
      </c>
      <c r="H32" s="2">
        <v>0.29820000000000002</v>
      </c>
      <c r="I32" t="s">
        <v>29</v>
      </c>
      <c r="J32" s="4">
        <v>39</v>
      </c>
      <c r="K32" s="4">
        <v>15</v>
      </c>
      <c r="L32" s="4">
        <v>330</v>
      </c>
      <c r="M32" s="4">
        <v>369</v>
      </c>
      <c r="N32" t="s">
        <v>30</v>
      </c>
      <c r="O32" t="s">
        <v>31</v>
      </c>
      <c r="P32" s="4" t="str">
        <f t="shared" si="0"/>
        <v>OK</v>
      </c>
    </row>
    <row r="33" spans="1:16">
      <c r="A33" t="s">
        <v>88</v>
      </c>
      <c r="B33" t="s">
        <v>89</v>
      </c>
      <c r="C33" t="s">
        <v>78</v>
      </c>
      <c r="D33" t="s">
        <v>28</v>
      </c>
      <c r="E33" s="1">
        <v>67.02</v>
      </c>
      <c r="F33" s="1">
        <v>35.57</v>
      </c>
      <c r="G33" s="1">
        <v>31.45</v>
      </c>
      <c r="H33" s="2">
        <v>0.46929999999999999</v>
      </c>
      <c r="I33" t="s">
        <v>29</v>
      </c>
      <c r="J33" s="4">
        <v>55</v>
      </c>
      <c r="K33" s="4">
        <v>15</v>
      </c>
      <c r="L33" s="4">
        <v>350</v>
      </c>
      <c r="M33" s="4">
        <v>405</v>
      </c>
      <c r="N33" t="s">
        <v>30</v>
      </c>
      <c r="O33" t="s">
        <v>31</v>
      </c>
      <c r="P33" s="4" t="str">
        <f t="shared" si="0"/>
        <v>OK</v>
      </c>
    </row>
    <row r="34" spans="1:16">
      <c r="A34" t="s">
        <v>90</v>
      </c>
      <c r="B34" t="s">
        <v>91</v>
      </c>
      <c r="C34" t="s">
        <v>34</v>
      </c>
      <c r="D34" t="s">
        <v>28</v>
      </c>
      <c r="E34" s="1">
        <v>90.96</v>
      </c>
      <c r="F34" s="1">
        <v>49.33</v>
      </c>
      <c r="G34" s="1">
        <v>41.63</v>
      </c>
      <c r="H34" s="2">
        <v>0.45770000000000005</v>
      </c>
      <c r="I34" t="s">
        <v>29</v>
      </c>
      <c r="J34" s="4">
        <v>36</v>
      </c>
      <c r="K34" s="4">
        <v>15</v>
      </c>
      <c r="L34" s="4">
        <v>407</v>
      </c>
      <c r="M34" s="4">
        <v>443</v>
      </c>
      <c r="N34" t="s">
        <v>30</v>
      </c>
      <c r="O34" t="s">
        <v>31</v>
      </c>
      <c r="P34" s="4" t="str">
        <f t="shared" si="0"/>
        <v>OK</v>
      </c>
    </row>
    <row r="35" spans="1:16">
      <c r="A35" t="s">
        <v>92</v>
      </c>
      <c r="B35" t="s">
        <v>93</v>
      </c>
      <c r="C35" t="s">
        <v>78</v>
      </c>
      <c r="D35" t="s">
        <v>28</v>
      </c>
      <c r="E35" s="1">
        <v>74.599999999999994</v>
      </c>
      <c r="F35" s="1">
        <v>44.76</v>
      </c>
      <c r="G35" s="1">
        <v>29.84</v>
      </c>
      <c r="H35" s="2">
        <v>0.4</v>
      </c>
      <c r="I35" t="s">
        <v>29</v>
      </c>
      <c r="J35" s="4">
        <v>76</v>
      </c>
      <c r="K35" s="4">
        <v>15</v>
      </c>
      <c r="L35" s="4">
        <v>455</v>
      </c>
      <c r="M35" s="4">
        <v>531</v>
      </c>
      <c r="N35" t="s">
        <v>30</v>
      </c>
      <c r="O35" t="s">
        <v>31</v>
      </c>
      <c r="P35" s="4" t="str">
        <f t="shared" si="0"/>
        <v>OK</v>
      </c>
    </row>
    <row r="36" spans="1:16">
      <c r="A36" t="s">
        <v>94</v>
      </c>
      <c r="B36" t="s">
        <v>95</v>
      </c>
      <c r="C36" t="s">
        <v>78</v>
      </c>
      <c r="D36" t="s">
        <v>28</v>
      </c>
      <c r="E36" s="1">
        <v>91.24</v>
      </c>
      <c r="F36" s="1">
        <v>61.59</v>
      </c>
      <c r="G36" s="1">
        <v>29.65</v>
      </c>
      <c r="H36" s="2">
        <v>0.32500000000000001</v>
      </c>
      <c r="I36" t="s">
        <v>29</v>
      </c>
      <c r="J36" s="4">
        <v>76</v>
      </c>
      <c r="K36" s="4">
        <v>15</v>
      </c>
      <c r="L36" s="4">
        <v>266</v>
      </c>
      <c r="M36" s="4">
        <v>342</v>
      </c>
      <c r="N36" t="s">
        <v>30</v>
      </c>
      <c r="O36" t="s">
        <v>31</v>
      </c>
      <c r="P36" s="4" t="str">
        <f t="shared" si="0"/>
        <v>OK</v>
      </c>
    </row>
    <row r="37" spans="1:16">
      <c r="A37" t="s">
        <v>96</v>
      </c>
      <c r="B37" t="s">
        <v>97</v>
      </c>
      <c r="C37" t="s">
        <v>64</v>
      </c>
      <c r="D37" t="s">
        <v>28</v>
      </c>
      <c r="E37" s="1">
        <v>48.61</v>
      </c>
      <c r="F37" s="1">
        <v>29.21</v>
      </c>
      <c r="G37" s="1">
        <v>19.399999999999999</v>
      </c>
      <c r="H37" s="2">
        <v>0.39909999999999995</v>
      </c>
      <c r="I37" t="s">
        <v>29</v>
      </c>
      <c r="J37" s="4">
        <v>79</v>
      </c>
      <c r="K37" s="4">
        <v>15</v>
      </c>
      <c r="L37" s="4">
        <v>191</v>
      </c>
      <c r="M37" s="4">
        <v>270</v>
      </c>
      <c r="N37" t="s">
        <v>30</v>
      </c>
      <c r="O37" t="s">
        <v>31</v>
      </c>
      <c r="P37" s="4" t="str">
        <f t="shared" si="0"/>
        <v>OK</v>
      </c>
    </row>
    <row r="38" spans="1:16">
      <c r="A38" t="s">
        <v>98</v>
      </c>
      <c r="B38" t="s">
        <v>99</v>
      </c>
      <c r="C38" t="s">
        <v>78</v>
      </c>
      <c r="D38" t="s">
        <v>28</v>
      </c>
      <c r="E38" s="1">
        <v>14.75</v>
      </c>
      <c r="F38" s="1">
        <v>8.09</v>
      </c>
      <c r="G38" s="1">
        <v>6.66</v>
      </c>
      <c r="H38" s="2">
        <v>0.45150000000000001</v>
      </c>
      <c r="I38" t="s">
        <v>29</v>
      </c>
      <c r="J38" s="4">
        <v>97</v>
      </c>
      <c r="K38" s="4">
        <v>15</v>
      </c>
      <c r="L38" s="4">
        <v>433</v>
      </c>
      <c r="M38" s="4">
        <v>530</v>
      </c>
      <c r="N38" t="s">
        <v>30</v>
      </c>
      <c r="O38" t="s">
        <v>31</v>
      </c>
      <c r="P38" s="4" t="str">
        <f t="shared" si="0"/>
        <v>OK</v>
      </c>
    </row>
    <row r="39" spans="1:16">
      <c r="A39" t="s">
        <v>100</v>
      </c>
      <c r="B39" t="s">
        <v>101</v>
      </c>
      <c r="C39" t="s">
        <v>78</v>
      </c>
      <c r="D39" t="s">
        <v>28</v>
      </c>
      <c r="E39" s="1">
        <v>24.78</v>
      </c>
      <c r="F39" s="1">
        <v>15.84</v>
      </c>
      <c r="G39" s="1">
        <v>8.94</v>
      </c>
      <c r="H39" s="2">
        <v>0.36080000000000001</v>
      </c>
      <c r="I39" t="s">
        <v>29</v>
      </c>
      <c r="J39" s="4">
        <v>38</v>
      </c>
      <c r="K39" s="4">
        <v>15</v>
      </c>
      <c r="L39" s="4">
        <v>92</v>
      </c>
      <c r="M39" s="4">
        <v>130</v>
      </c>
      <c r="N39" t="s">
        <v>30</v>
      </c>
      <c r="O39" t="s">
        <v>31</v>
      </c>
      <c r="P39" s="4" t="str">
        <f t="shared" si="0"/>
        <v>OK</v>
      </c>
    </row>
    <row r="40" spans="1:16">
      <c r="A40" t="s">
        <v>102</v>
      </c>
      <c r="B40" t="s">
        <v>103</v>
      </c>
      <c r="C40" t="s">
        <v>64</v>
      </c>
      <c r="D40" t="s">
        <v>28</v>
      </c>
      <c r="E40" s="1">
        <v>97.74</v>
      </c>
      <c r="F40" s="1">
        <v>61.25</v>
      </c>
      <c r="G40" s="1">
        <v>36.49</v>
      </c>
      <c r="H40" s="2">
        <v>0.37329999999999997</v>
      </c>
      <c r="I40" t="s">
        <v>29</v>
      </c>
      <c r="J40" s="4">
        <v>35</v>
      </c>
      <c r="K40" s="4">
        <v>15</v>
      </c>
      <c r="L40" s="4">
        <v>42</v>
      </c>
      <c r="M40" s="4">
        <v>77</v>
      </c>
      <c r="N40" t="s">
        <v>30</v>
      </c>
      <c r="O40" t="s">
        <v>31</v>
      </c>
      <c r="P40" s="4" t="str">
        <f t="shared" si="0"/>
        <v>OK</v>
      </c>
    </row>
    <row r="41" spans="1:16">
      <c r="A41" t="s">
        <v>104</v>
      </c>
      <c r="B41" t="s">
        <v>105</v>
      </c>
      <c r="C41" t="s">
        <v>78</v>
      </c>
      <c r="D41" t="s">
        <v>28</v>
      </c>
      <c r="E41" s="1">
        <v>62.73</v>
      </c>
      <c r="F41" s="1">
        <v>44.61</v>
      </c>
      <c r="G41" s="1">
        <v>18.12</v>
      </c>
      <c r="H41" s="2">
        <v>0.28889999999999999</v>
      </c>
      <c r="I41" t="s">
        <v>29</v>
      </c>
      <c r="J41" s="4">
        <v>3</v>
      </c>
      <c r="K41" s="4">
        <v>15</v>
      </c>
      <c r="L41" s="4">
        <v>336</v>
      </c>
      <c r="M41" s="4">
        <v>339</v>
      </c>
      <c r="N41" t="s">
        <v>73</v>
      </c>
      <c r="O41" t="s">
        <v>31</v>
      </c>
      <c r="P41" s="4" t="str">
        <f t="shared" si="0"/>
        <v>OK</v>
      </c>
    </row>
    <row r="42" spans="1:16">
      <c r="A42" t="s">
        <v>106</v>
      </c>
      <c r="B42" t="s">
        <v>107</v>
      </c>
      <c r="C42" t="s">
        <v>78</v>
      </c>
      <c r="D42" t="s">
        <v>28</v>
      </c>
      <c r="E42" s="1">
        <v>43.17</v>
      </c>
      <c r="F42" s="1">
        <v>18.04</v>
      </c>
      <c r="G42" s="1">
        <v>25.13</v>
      </c>
      <c r="H42" s="2">
        <v>0.58210000000000006</v>
      </c>
      <c r="I42" t="s">
        <v>29</v>
      </c>
      <c r="J42" s="4">
        <v>95</v>
      </c>
      <c r="K42" s="4">
        <v>15</v>
      </c>
      <c r="L42" s="4">
        <v>171</v>
      </c>
      <c r="M42" s="4">
        <v>266</v>
      </c>
      <c r="N42" t="s">
        <v>30</v>
      </c>
      <c r="O42" t="s">
        <v>31</v>
      </c>
      <c r="P42" s="4" t="str">
        <f t="shared" si="0"/>
        <v>OK</v>
      </c>
    </row>
    <row r="43" spans="1:16">
      <c r="A43" t="s">
        <v>108</v>
      </c>
      <c r="B43" t="s">
        <v>109</v>
      </c>
      <c r="C43" t="s">
        <v>78</v>
      </c>
      <c r="D43" t="s">
        <v>28</v>
      </c>
      <c r="E43" s="1">
        <v>74.75</v>
      </c>
      <c r="F43" s="1">
        <v>33.76</v>
      </c>
      <c r="G43" s="1">
        <v>40.99</v>
      </c>
      <c r="H43" s="2">
        <v>0.5484</v>
      </c>
      <c r="I43" t="s">
        <v>29</v>
      </c>
      <c r="J43" s="4">
        <v>36</v>
      </c>
      <c r="K43" s="4">
        <v>15</v>
      </c>
      <c r="L43" s="4">
        <v>200</v>
      </c>
      <c r="M43" s="4">
        <v>236</v>
      </c>
      <c r="N43" t="s">
        <v>30</v>
      </c>
      <c r="O43" t="s">
        <v>31</v>
      </c>
      <c r="P43" s="4" t="str">
        <f t="shared" si="0"/>
        <v>OK</v>
      </c>
    </row>
    <row r="44" spans="1:16">
      <c r="A44" t="s">
        <v>110</v>
      </c>
      <c r="B44" t="s">
        <v>111</v>
      </c>
      <c r="C44" t="s">
        <v>78</v>
      </c>
      <c r="D44" t="s">
        <v>28</v>
      </c>
      <c r="E44" s="1">
        <v>108.93</v>
      </c>
      <c r="F44" s="1">
        <v>76.010000000000005</v>
      </c>
      <c r="G44" s="1">
        <v>32.92</v>
      </c>
      <c r="H44" s="2">
        <v>0.30219999999999997</v>
      </c>
      <c r="I44" t="s">
        <v>29</v>
      </c>
      <c r="J44" s="4">
        <v>79</v>
      </c>
      <c r="K44" s="4">
        <v>15</v>
      </c>
      <c r="L44" s="4">
        <v>370</v>
      </c>
      <c r="M44" s="4">
        <v>449</v>
      </c>
      <c r="N44" t="s">
        <v>30</v>
      </c>
      <c r="O44" t="s">
        <v>31</v>
      </c>
      <c r="P44" s="4" t="str">
        <f t="shared" si="0"/>
        <v>OK</v>
      </c>
    </row>
    <row r="45" spans="1:16">
      <c r="A45" t="s">
        <v>112</v>
      </c>
      <c r="B45" t="s">
        <v>113</v>
      </c>
      <c r="C45" t="s">
        <v>78</v>
      </c>
      <c r="D45" t="s">
        <v>28</v>
      </c>
      <c r="E45" s="1">
        <v>87.97</v>
      </c>
      <c r="F45" s="1">
        <v>44.47</v>
      </c>
      <c r="G45" s="1">
        <v>43.5</v>
      </c>
      <c r="H45" s="2">
        <v>0.49450000000000005</v>
      </c>
      <c r="I45" t="s">
        <v>29</v>
      </c>
      <c r="J45" s="4">
        <v>96</v>
      </c>
      <c r="K45" s="4">
        <v>15</v>
      </c>
      <c r="L45" s="4">
        <v>293</v>
      </c>
      <c r="M45" s="4">
        <v>389</v>
      </c>
      <c r="N45" t="s">
        <v>30</v>
      </c>
      <c r="O45" t="s">
        <v>31</v>
      </c>
      <c r="P45" s="4" t="str">
        <f t="shared" si="0"/>
        <v>OK</v>
      </c>
    </row>
    <row r="46" spans="1:16">
      <c r="A46" t="s">
        <v>114</v>
      </c>
      <c r="B46" t="s">
        <v>115</v>
      </c>
      <c r="C46" t="s">
        <v>34</v>
      </c>
      <c r="D46" t="s">
        <v>28</v>
      </c>
      <c r="E46" s="1">
        <v>24.98</v>
      </c>
      <c r="F46" s="1">
        <v>16.25</v>
      </c>
      <c r="G46" s="1">
        <v>8.73</v>
      </c>
      <c r="H46" s="2">
        <v>0.34950000000000003</v>
      </c>
      <c r="I46" t="s">
        <v>29</v>
      </c>
      <c r="J46" s="4">
        <v>3</v>
      </c>
      <c r="K46" s="4">
        <v>15</v>
      </c>
      <c r="L46" s="4">
        <v>8</v>
      </c>
      <c r="M46" s="4">
        <v>11</v>
      </c>
      <c r="N46" t="s">
        <v>73</v>
      </c>
      <c r="O46" t="s">
        <v>31</v>
      </c>
      <c r="P46" s="4" t="str">
        <f t="shared" si="0"/>
        <v>OK</v>
      </c>
    </row>
    <row r="47" spans="1:16">
      <c r="A47" t="s">
        <v>116</v>
      </c>
      <c r="B47" t="s">
        <v>117</v>
      </c>
      <c r="C47" t="s">
        <v>78</v>
      </c>
      <c r="D47" t="s">
        <v>28</v>
      </c>
      <c r="E47" s="1">
        <v>46.36</v>
      </c>
      <c r="F47" s="1">
        <v>17.850000000000001</v>
      </c>
      <c r="G47" s="1">
        <v>28.51</v>
      </c>
      <c r="H47" s="2">
        <v>0.61499999999999999</v>
      </c>
      <c r="I47" t="s">
        <v>29</v>
      </c>
      <c r="J47" s="4">
        <v>4</v>
      </c>
      <c r="K47" s="4">
        <v>15</v>
      </c>
      <c r="L47" s="4">
        <v>45</v>
      </c>
      <c r="M47" s="4">
        <v>49</v>
      </c>
      <c r="N47" t="s">
        <v>73</v>
      </c>
      <c r="O47" t="s">
        <v>31</v>
      </c>
      <c r="P47" s="4" t="str">
        <f t="shared" si="0"/>
        <v>OK</v>
      </c>
    </row>
    <row r="48" spans="1:16">
      <c r="A48" t="s">
        <v>118</v>
      </c>
      <c r="B48" t="s">
        <v>119</v>
      </c>
      <c r="C48" t="s">
        <v>78</v>
      </c>
      <c r="D48" t="s">
        <v>28</v>
      </c>
      <c r="E48" s="1">
        <v>65.67</v>
      </c>
      <c r="F48" s="1">
        <v>44.28</v>
      </c>
      <c r="G48" s="1">
        <v>21.39</v>
      </c>
      <c r="H48" s="2">
        <v>0.32569999999999999</v>
      </c>
      <c r="I48" t="s">
        <v>29</v>
      </c>
      <c r="J48" s="4">
        <v>21</v>
      </c>
      <c r="K48" s="4">
        <v>15</v>
      </c>
      <c r="L48" s="4">
        <v>186</v>
      </c>
      <c r="M48" s="4">
        <v>207</v>
      </c>
      <c r="N48" t="s">
        <v>30</v>
      </c>
      <c r="O48" t="s">
        <v>31</v>
      </c>
      <c r="P48" s="4" t="str">
        <f t="shared" si="0"/>
        <v>OK</v>
      </c>
    </row>
    <row r="49" spans="1:16">
      <c r="A49" t="s">
        <v>120</v>
      </c>
      <c r="B49" t="s">
        <v>121</v>
      </c>
      <c r="C49" t="s">
        <v>122</v>
      </c>
      <c r="D49" t="s">
        <v>28</v>
      </c>
      <c r="E49" s="1">
        <v>17.75</v>
      </c>
      <c r="F49" s="1">
        <v>5.43</v>
      </c>
      <c r="G49" s="1">
        <v>12.32</v>
      </c>
      <c r="H49" s="2">
        <v>0.69409999999999994</v>
      </c>
      <c r="I49" t="s">
        <v>29</v>
      </c>
      <c r="J49" s="4">
        <v>94</v>
      </c>
      <c r="K49" s="4">
        <v>15</v>
      </c>
      <c r="L49" s="4">
        <v>180</v>
      </c>
      <c r="M49" s="4">
        <v>274</v>
      </c>
      <c r="N49" t="s">
        <v>30</v>
      </c>
      <c r="O49" t="s">
        <v>31</v>
      </c>
      <c r="P49" s="4" t="str">
        <f t="shared" si="0"/>
        <v>OK</v>
      </c>
    </row>
    <row r="50" spans="1:16">
      <c r="A50" t="s">
        <v>123</v>
      </c>
      <c r="B50" t="s">
        <v>124</v>
      </c>
      <c r="C50" t="s">
        <v>78</v>
      </c>
      <c r="D50" t="s">
        <v>28</v>
      </c>
      <c r="E50" s="1">
        <v>104.89</v>
      </c>
      <c r="F50" s="1">
        <v>78.55</v>
      </c>
      <c r="G50" s="1">
        <v>26.34</v>
      </c>
      <c r="H50" s="2">
        <v>0.25109999999999999</v>
      </c>
      <c r="I50" t="s">
        <v>29</v>
      </c>
      <c r="J50" s="4">
        <v>59</v>
      </c>
      <c r="K50" s="4">
        <v>15</v>
      </c>
      <c r="L50" s="4">
        <v>207</v>
      </c>
      <c r="M50" s="4">
        <v>266</v>
      </c>
      <c r="N50" t="s">
        <v>30</v>
      </c>
      <c r="O50" t="s">
        <v>31</v>
      </c>
      <c r="P50" s="4" t="str">
        <f t="shared" si="0"/>
        <v>OK</v>
      </c>
    </row>
    <row r="51" spans="1:16">
      <c r="A51" t="s">
        <v>125</v>
      </c>
      <c r="B51" t="s">
        <v>126</v>
      </c>
      <c r="C51" t="s">
        <v>78</v>
      </c>
      <c r="D51" t="s">
        <v>28</v>
      </c>
      <c r="E51" s="1">
        <v>37.07</v>
      </c>
      <c r="F51" s="1">
        <v>40.78</v>
      </c>
      <c r="G51" s="1">
        <v>-3.71</v>
      </c>
      <c r="H51" s="2">
        <v>-0.10009999999999999</v>
      </c>
      <c r="I51" t="s">
        <v>127</v>
      </c>
      <c r="J51" s="4">
        <v>89</v>
      </c>
      <c r="K51" s="4">
        <v>15</v>
      </c>
      <c r="L51" s="4">
        <v>370</v>
      </c>
      <c r="M51" s="4">
        <v>459</v>
      </c>
      <c r="N51" t="s">
        <v>30</v>
      </c>
      <c r="O51" t="s">
        <v>31</v>
      </c>
      <c r="P51" s="4" t="str">
        <f t="shared" si="0"/>
        <v>OK</v>
      </c>
    </row>
    <row r="52" spans="1:16">
      <c r="A52" t="s">
        <v>128</v>
      </c>
      <c r="B52" t="s">
        <v>129</v>
      </c>
      <c r="C52" t="s">
        <v>78</v>
      </c>
      <c r="D52" t="s">
        <v>28</v>
      </c>
      <c r="E52" s="1">
        <v>26.64</v>
      </c>
      <c r="F52" s="1">
        <v>17.87</v>
      </c>
      <c r="G52" s="1">
        <v>8.77</v>
      </c>
      <c r="H52" s="2">
        <v>0.32919999999999999</v>
      </c>
      <c r="I52" t="s">
        <v>29</v>
      </c>
      <c r="J52" s="4">
        <v>32</v>
      </c>
      <c r="K52" s="4">
        <v>15</v>
      </c>
      <c r="L52" s="4">
        <v>30</v>
      </c>
      <c r="M52" s="4">
        <v>62</v>
      </c>
      <c r="N52" t="s">
        <v>30</v>
      </c>
      <c r="O52" t="s">
        <v>31</v>
      </c>
      <c r="P52" s="4" t="str">
        <f t="shared" si="0"/>
        <v>OK</v>
      </c>
    </row>
    <row r="53" spans="1:16">
      <c r="A53" t="s">
        <v>130</v>
      </c>
      <c r="B53" t="s">
        <v>131</v>
      </c>
      <c r="C53" t="s">
        <v>78</v>
      </c>
      <c r="D53" t="s">
        <v>28</v>
      </c>
      <c r="E53" s="1">
        <v>56.61</v>
      </c>
      <c r="F53" s="1">
        <v>33.26</v>
      </c>
      <c r="G53" s="1">
        <v>23.35</v>
      </c>
      <c r="H53" s="2">
        <v>0.41249999999999998</v>
      </c>
      <c r="I53" t="s">
        <v>29</v>
      </c>
      <c r="J53" s="4">
        <v>75</v>
      </c>
      <c r="K53" s="4">
        <v>15</v>
      </c>
      <c r="L53" s="4">
        <v>253</v>
      </c>
      <c r="M53" s="4">
        <v>328</v>
      </c>
      <c r="N53" t="s">
        <v>30</v>
      </c>
      <c r="O53" t="s">
        <v>31</v>
      </c>
      <c r="P53" s="4" t="str">
        <f t="shared" si="0"/>
        <v>OK</v>
      </c>
    </row>
    <row r="54" spans="1:16">
      <c r="A54" t="s">
        <v>132</v>
      </c>
      <c r="B54" t="s">
        <v>133</v>
      </c>
      <c r="C54" t="s">
        <v>78</v>
      </c>
      <c r="D54" t="s">
        <v>28</v>
      </c>
      <c r="E54" s="1">
        <v>77.150000000000006</v>
      </c>
      <c r="F54" s="1">
        <v>56.61</v>
      </c>
      <c r="G54" s="1">
        <v>20.54</v>
      </c>
      <c r="H54" s="2">
        <v>0.26619999999999999</v>
      </c>
      <c r="I54" t="s">
        <v>29</v>
      </c>
      <c r="J54" s="4">
        <v>70</v>
      </c>
      <c r="K54" s="4">
        <v>15</v>
      </c>
      <c r="L54" s="4">
        <v>322</v>
      </c>
      <c r="M54" s="4">
        <v>392</v>
      </c>
      <c r="N54" t="s">
        <v>30</v>
      </c>
      <c r="O54" t="s">
        <v>31</v>
      </c>
      <c r="P54" s="4" t="str">
        <f t="shared" si="0"/>
        <v>OK</v>
      </c>
    </row>
    <row r="55" spans="1:16">
      <c r="A55" t="s">
        <v>134</v>
      </c>
      <c r="B55" t="s">
        <v>135</v>
      </c>
      <c r="C55" t="s">
        <v>122</v>
      </c>
      <c r="D55" t="s">
        <v>28</v>
      </c>
      <c r="E55" s="1">
        <v>60.35</v>
      </c>
      <c r="F55" s="1">
        <v>37.67</v>
      </c>
      <c r="G55" s="1">
        <v>22.68</v>
      </c>
      <c r="H55" s="2">
        <v>0.37579999999999997</v>
      </c>
      <c r="I55" t="s">
        <v>29</v>
      </c>
      <c r="J55" s="4">
        <v>71</v>
      </c>
      <c r="K55" s="4">
        <v>15</v>
      </c>
      <c r="L55" s="4">
        <v>278</v>
      </c>
      <c r="M55" s="4">
        <v>349</v>
      </c>
      <c r="N55" t="s">
        <v>30</v>
      </c>
      <c r="O55" t="s">
        <v>31</v>
      </c>
      <c r="P55" s="4" t="str">
        <f t="shared" si="0"/>
        <v>OK</v>
      </c>
    </row>
    <row r="56" spans="1:16">
      <c r="A56" t="s">
        <v>136</v>
      </c>
      <c r="B56" t="s">
        <v>137</v>
      </c>
      <c r="C56" t="s">
        <v>78</v>
      </c>
      <c r="D56" t="s">
        <v>28</v>
      </c>
      <c r="E56" s="1">
        <v>35.47</v>
      </c>
      <c r="F56" s="1">
        <v>18.36</v>
      </c>
      <c r="G56" s="1">
        <v>17.11</v>
      </c>
      <c r="H56" s="2">
        <v>0.4824</v>
      </c>
      <c r="I56" t="s">
        <v>29</v>
      </c>
      <c r="J56" s="4">
        <v>14</v>
      </c>
      <c r="K56" s="4">
        <v>15</v>
      </c>
      <c r="L56" s="4">
        <v>90</v>
      </c>
      <c r="M56" s="4">
        <v>104</v>
      </c>
      <c r="N56" t="s">
        <v>73</v>
      </c>
      <c r="O56" t="s">
        <v>31</v>
      </c>
      <c r="P56" s="4" t="str">
        <f t="shared" si="0"/>
        <v>OK</v>
      </c>
    </row>
    <row r="57" spans="1:16">
      <c r="A57" t="s">
        <v>138</v>
      </c>
      <c r="B57" t="s">
        <v>139</v>
      </c>
      <c r="C57" t="s">
        <v>64</v>
      </c>
      <c r="D57" t="s">
        <v>28</v>
      </c>
      <c r="E57" s="1">
        <v>46.38</v>
      </c>
      <c r="F57" s="1">
        <v>17.12</v>
      </c>
      <c r="G57" s="1">
        <v>29.26</v>
      </c>
      <c r="H57" s="2">
        <v>0.63090000000000002</v>
      </c>
      <c r="I57" t="s">
        <v>29</v>
      </c>
      <c r="J57" s="4">
        <v>81</v>
      </c>
      <c r="K57" s="4">
        <v>15</v>
      </c>
      <c r="L57" s="4">
        <v>274</v>
      </c>
      <c r="M57" s="4">
        <v>355</v>
      </c>
      <c r="N57" t="s">
        <v>30</v>
      </c>
      <c r="O57" t="s">
        <v>31</v>
      </c>
      <c r="P57" s="4" t="str">
        <f t="shared" si="0"/>
        <v>OK</v>
      </c>
    </row>
    <row r="58" spans="1:16">
      <c r="A58" t="s">
        <v>140</v>
      </c>
      <c r="B58" t="s">
        <v>141</v>
      </c>
      <c r="C58" t="s">
        <v>39</v>
      </c>
      <c r="D58" t="s">
        <v>28</v>
      </c>
      <c r="E58" s="1">
        <v>20.23</v>
      </c>
      <c r="F58" s="1">
        <v>10.119999999999999</v>
      </c>
      <c r="G58" s="1">
        <v>10.11</v>
      </c>
      <c r="H58" s="2">
        <v>0.49979999999999997</v>
      </c>
      <c r="I58" t="s">
        <v>29</v>
      </c>
      <c r="J58" s="4">
        <v>20</v>
      </c>
      <c r="K58" s="4">
        <v>15</v>
      </c>
      <c r="L58" s="4">
        <v>384</v>
      </c>
      <c r="M58" s="4">
        <v>404</v>
      </c>
      <c r="N58" t="s">
        <v>30</v>
      </c>
      <c r="O58" t="s">
        <v>31</v>
      </c>
      <c r="P58" s="4" t="str">
        <f t="shared" si="0"/>
        <v>OK</v>
      </c>
    </row>
    <row r="59" spans="1:16">
      <c r="A59" t="s">
        <v>142</v>
      </c>
      <c r="B59" t="s">
        <v>143</v>
      </c>
      <c r="C59" t="s">
        <v>144</v>
      </c>
      <c r="D59" t="s">
        <v>28</v>
      </c>
      <c r="E59" s="1">
        <v>91.18</v>
      </c>
      <c r="F59" s="1">
        <v>46.28</v>
      </c>
      <c r="G59" s="1">
        <v>44.9</v>
      </c>
      <c r="H59" s="2">
        <v>0.4924</v>
      </c>
      <c r="I59" t="s">
        <v>29</v>
      </c>
      <c r="J59" s="4">
        <v>61</v>
      </c>
      <c r="K59" s="4">
        <v>15</v>
      </c>
      <c r="L59" s="4">
        <v>5</v>
      </c>
      <c r="M59" s="4">
        <v>66</v>
      </c>
      <c r="N59" t="s">
        <v>30</v>
      </c>
      <c r="O59" t="s">
        <v>31</v>
      </c>
      <c r="P59" s="4" t="str">
        <f t="shared" si="0"/>
        <v>OK</v>
      </c>
    </row>
    <row r="60" spans="1:16">
      <c r="A60" t="s">
        <v>145</v>
      </c>
      <c r="B60" t="s">
        <v>146</v>
      </c>
      <c r="C60" t="s">
        <v>64</v>
      </c>
      <c r="D60" t="s">
        <v>28</v>
      </c>
      <c r="E60" s="1">
        <v>164.37</v>
      </c>
      <c r="F60" s="1">
        <v>59.28</v>
      </c>
      <c r="G60" s="1">
        <v>105.09</v>
      </c>
      <c r="H60" s="2">
        <v>0.63939999999999997</v>
      </c>
      <c r="I60" t="s">
        <v>29</v>
      </c>
      <c r="J60" s="4">
        <v>64</v>
      </c>
      <c r="K60" s="4">
        <v>15</v>
      </c>
      <c r="L60" s="4">
        <v>98</v>
      </c>
      <c r="M60" s="4">
        <v>162</v>
      </c>
      <c r="N60" t="s">
        <v>30</v>
      </c>
      <c r="O60" t="s">
        <v>31</v>
      </c>
      <c r="P60" s="4" t="str">
        <f t="shared" si="0"/>
        <v>OK</v>
      </c>
    </row>
    <row r="61" spans="1:16">
      <c r="A61" t="s">
        <v>147</v>
      </c>
      <c r="B61" t="s">
        <v>148</v>
      </c>
      <c r="C61" t="s">
        <v>39</v>
      </c>
      <c r="D61" t="s">
        <v>28</v>
      </c>
      <c r="E61" s="1">
        <v>51.76</v>
      </c>
      <c r="F61" s="1">
        <v>16.02</v>
      </c>
      <c r="G61" s="1">
        <v>35.74</v>
      </c>
      <c r="H61" s="2">
        <v>0.6905</v>
      </c>
      <c r="I61" t="s">
        <v>29</v>
      </c>
      <c r="J61" s="4">
        <v>38</v>
      </c>
      <c r="K61" s="4">
        <v>15</v>
      </c>
      <c r="L61" s="4">
        <v>409</v>
      </c>
      <c r="M61" s="4">
        <v>447</v>
      </c>
      <c r="N61" t="s">
        <v>30</v>
      </c>
      <c r="O61" t="s">
        <v>31</v>
      </c>
      <c r="P61" s="4" t="str">
        <f t="shared" si="0"/>
        <v>OK</v>
      </c>
    </row>
    <row r="62" spans="1:16">
      <c r="A62" t="s">
        <v>149</v>
      </c>
      <c r="B62" t="s">
        <v>150</v>
      </c>
      <c r="C62" t="s">
        <v>64</v>
      </c>
      <c r="D62" t="s">
        <v>28</v>
      </c>
      <c r="E62" s="1">
        <v>35.29</v>
      </c>
      <c r="F62" s="1">
        <v>16.18</v>
      </c>
      <c r="G62" s="1">
        <v>19.11</v>
      </c>
      <c r="H62" s="2">
        <v>0.54149999999999998</v>
      </c>
      <c r="I62" t="s">
        <v>29</v>
      </c>
      <c r="J62" s="4">
        <v>94</v>
      </c>
      <c r="K62" s="4">
        <v>15</v>
      </c>
      <c r="L62" s="4">
        <v>139</v>
      </c>
      <c r="M62" s="4">
        <v>233</v>
      </c>
      <c r="N62" t="s">
        <v>30</v>
      </c>
      <c r="O62" t="s">
        <v>31</v>
      </c>
      <c r="P62" s="4" t="str">
        <f t="shared" si="0"/>
        <v>OK</v>
      </c>
    </row>
    <row r="63" spans="1:16">
      <c r="A63" t="s">
        <v>151</v>
      </c>
      <c r="B63" t="s">
        <v>152</v>
      </c>
      <c r="C63" t="s">
        <v>64</v>
      </c>
      <c r="D63" t="s">
        <v>28</v>
      </c>
      <c r="E63" s="1">
        <v>49.93</v>
      </c>
      <c r="F63" s="1">
        <v>36.43</v>
      </c>
      <c r="G63" s="1">
        <v>13.5</v>
      </c>
      <c r="H63" s="2">
        <v>0.27039999999999997</v>
      </c>
      <c r="I63" t="s">
        <v>29</v>
      </c>
      <c r="J63" s="4">
        <v>83</v>
      </c>
      <c r="K63" s="4">
        <v>15</v>
      </c>
      <c r="L63" s="4">
        <v>324</v>
      </c>
      <c r="M63" s="4">
        <v>407</v>
      </c>
      <c r="N63" t="s">
        <v>30</v>
      </c>
      <c r="O63" t="s">
        <v>31</v>
      </c>
      <c r="P63" s="4" t="str">
        <f t="shared" si="0"/>
        <v>OK</v>
      </c>
    </row>
    <row r="64" spans="1:16">
      <c r="A64" t="s">
        <v>153</v>
      </c>
      <c r="B64" t="s">
        <v>154</v>
      </c>
      <c r="C64" t="s">
        <v>39</v>
      </c>
      <c r="D64" t="s">
        <v>28</v>
      </c>
      <c r="F64" s="1">
        <v>19.170000000000002</v>
      </c>
      <c r="H64" s="1"/>
      <c r="I64" t="s">
        <v>18</v>
      </c>
      <c r="J64" s="4">
        <v>77</v>
      </c>
      <c r="K64" s="4">
        <v>15</v>
      </c>
      <c r="L64" s="4">
        <v>55</v>
      </c>
      <c r="M64" s="4">
        <v>132</v>
      </c>
      <c r="N64" t="s">
        <v>30</v>
      </c>
      <c r="O64" t="s">
        <v>31</v>
      </c>
      <c r="P64" s="4" t="str">
        <f t="shared" si="0"/>
        <v>OK</v>
      </c>
    </row>
    <row r="65" spans="1:16">
      <c r="A65" t="s">
        <v>155</v>
      </c>
      <c r="B65" t="s">
        <v>156</v>
      </c>
      <c r="C65" t="s">
        <v>64</v>
      </c>
      <c r="D65" t="s">
        <v>28</v>
      </c>
      <c r="E65" s="1">
        <v>19.7</v>
      </c>
      <c r="F65" s="1">
        <v>11.38</v>
      </c>
      <c r="G65" s="1">
        <v>8.32</v>
      </c>
      <c r="H65" s="2">
        <v>0.42229999999999995</v>
      </c>
      <c r="I65" t="s">
        <v>29</v>
      </c>
      <c r="J65" s="4">
        <v>94</v>
      </c>
      <c r="K65" s="4">
        <v>15</v>
      </c>
      <c r="L65" s="4">
        <v>261</v>
      </c>
      <c r="M65" s="4">
        <v>355</v>
      </c>
      <c r="N65" t="s">
        <v>30</v>
      </c>
      <c r="O65" t="s">
        <v>31</v>
      </c>
      <c r="P65" s="4" t="str">
        <f t="shared" si="0"/>
        <v>OK</v>
      </c>
    </row>
    <row r="66" spans="1:16">
      <c r="A66" t="s">
        <v>157</v>
      </c>
      <c r="B66" t="s">
        <v>158</v>
      </c>
      <c r="C66" t="s">
        <v>64</v>
      </c>
      <c r="D66" t="s">
        <v>28</v>
      </c>
      <c r="E66" s="1">
        <v>21.72</v>
      </c>
      <c r="F66" s="1">
        <v>9.99</v>
      </c>
      <c r="G66" s="1">
        <v>11.73</v>
      </c>
      <c r="H66" s="2">
        <v>0.54010000000000002</v>
      </c>
      <c r="I66" t="s">
        <v>29</v>
      </c>
      <c r="J66" s="4">
        <v>2</v>
      </c>
      <c r="K66" s="4">
        <v>15</v>
      </c>
      <c r="L66" s="4">
        <v>45</v>
      </c>
      <c r="M66" s="4">
        <v>47</v>
      </c>
      <c r="N66" t="s">
        <v>73</v>
      </c>
      <c r="O66" t="s">
        <v>31</v>
      </c>
      <c r="P66" s="4" t="str">
        <f t="shared" ref="P66:P129" si="1">IF(COUNTIF($B$2:$B$506, B66)&gt;1, "DUPLICATE", "OK")</f>
        <v>OK</v>
      </c>
    </row>
    <row r="67" spans="1:16">
      <c r="A67" t="s">
        <v>159</v>
      </c>
      <c r="B67" t="s">
        <v>160</v>
      </c>
      <c r="C67" t="s">
        <v>122</v>
      </c>
      <c r="D67" t="s">
        <v>28</v>
      </c>
      <c r="E67" s="1">
        <v>56.69</v>
      </c>
      <c r="F67" s="1">
        <v>60.67</v>
      </c>
      <c r="G67" s="1">
        <v>-3.98</v>
      </c>
      <c r="H67" s="2">
        <v>-7.0199999999999999E-2</v>
      </c>
      <c r="I67" t="s">
        <v>127</v>
      </c>
      <c r="J67" s="4">
        <v>19</v>
      </c>
      <c r="K67" s="4">
        <v>15</v>
      </c>
      <c r="L67" s="4">
        <v>459</v>
      </c>
      <c r="M67" s="4">
        <v>478</v>
      </c>
      <c r="N67" t="s">
        <v>30</v>
      </c>
      <c r="O67" t="s">
        <v>31</v>
      </c>
      <c r="P67" s="4" t="str">
        <f t="shared" si="1"/>
        <v>OK</v>
      </c>
    </row>
    <row r="68" spans="1:16">
      <c r="A68" t="s">
        <v>161</v>
      </c>
      <c r="B68" t="s">
        <v>162</v>
      </c>
      <c r="C68" t="s">
        <v>64</v>
      </c>
      <c r="D68" t="s">
        <v>28</v>
      </c>
      <c r="E68" s="1">
        <v>26.34</v>
      </c>
      <c r="F68" s="1">
        <v>8</v>
      </c>
      <c r="G68" s="1">
        <v>18.34</v>
      </c>
      <c r="H68" s="2">
        <v>0.69629999999999992</v>
      </c>
      <c r="I68" t="s">
        <v>29</v>
      </c>
      <c r="J68" s="4">
        <v>27</v>
      </c>
      <c r="K68" s="4">
        <v>15</v>
      </c>
      <c r="L68" s="4">
        <v>274</v>
      </c>
      <c r="M68" s="4">
        <v>301</v>
      </c>
      <c r="N68" t="s">
        <v>30</v>
      </c>
      <c r="O68" t="s">
        <v>31</v>
      </c>
      <c r="P68" s="4" t="str">
        <f t="shared" si="1"/>
        <v>OK</v>
      </c>
    </row>
    <row r="69" spans="1:16">
      <c r="A69" t="s">
        <v>163</v>
      </c>
      <c r="B69" t="s">
        <v>164</v>
      </c>
      <c r="C69" t="s">
        <v>64</v>
      </c>
      <c r="D69" t="s">
        <v>28</v>
      </c>
      <c r="E69" s="1">
        <v>42.85</v>
      </c>
      <c r="F69" s="1">
        <v>20.13</v>
      </c>
      <c r="G69" s="1">
        <v>22.72</v>
      </c>
      <c r="H69" s="2">
        <v>0.5302</v>
      </c>
      <c r="I69" t="s">
        <v>29</v>
      </c>
      <c r="J69" s="4">
        <v>30</v>
      </c>
      <c r="K69" s="4">
        <v>15</v>
      </c>
      <c r="L69" s="4">
        <v>0</v>
      </c>
      <c r="M69" s="4">
        <v>30</v>
      </c>
      <c r="N69" t="s">
        <v>30</v>
      </c>
      <c r="O69" t="s">
        <v>31</v>
      </c>
      <c r="P69" s="4" t="str">
        <f t="shared" si="1"/>
        <v>OK</v>
      </c>
    </row>
    <row r="70" spans="1:16">
      <c r="A70" t="s">
        <v>165</v>
      </c>
      <c r="B70" t="s">
        <v>166</v>
      </c>
      <c r="C70" t="s">
        <v>122</v>
      </c>
      <c r="D70" t="s">
        <v>28</v>
      </c>
      <c r="E70" s="1">
        <v>118.06</v>
      </c>
      <c r="F70" s="1">
        <v>72.3</v>
      </c>
      <c r="G70" s="1">
        <v>45.76</v>
      </c>
      <c r="H70" s="2">
        <v>0.3876</v>
      </c>
      <c r="I70" t="s">
        <v>29</v>
      </c>
      <c r="J70" s="4">
        <v>32</v>
      </c>
      <c r="K70" s="4">
        <v>15</v>
      </c>
      <c r="L70" s="4">
        <v>206</v>
      </c>
      <c r="M70" s="4">
        <v>238</v>
      </c>
      <c r="N70" t="s">
        <v>30</v>
      </c>
      <c r="O70" t="s">
        <v>31</v>
      </c>
      <c r="P70" s="4" t="str">
        <f t="shared" si="1"/>
        <v>OK</v>
      </c>
    </row>
    <row r="71" spans="1:16">
      <c r="A71" t="s">
        <v>167</v>
      </c>
      <c r="B71" t="s">
        <v>168</v>
      </c>
      <c r="C71" t="s">
        <v>64</v>
      </c>
      <c r="D71" t="s">
        <v>28</v>
      </c>
      <c r="E71" s="1">
        <v>27.88</v>
      </c>
      <c r="F71" s="1">
        <v>8.73</v>
      </c>
      <c r="G71" s="1">
        <v>19.149999999999999</v>
      </c>
      <c r="H71" s="2">
        <v>0.68689999999999996</v>
      </c>
      <c r="I71" t="s">
        <v>29</v>
      </c>
      <c r="J71" s="4">
        <v>68</v>
      </c>
      <c r="K71" s="4">
        <v>15</v>
      </c>
      <c r="L71" s="4">
        <v>165</v>
      </c>
      <c r="M71" s="4">
        <v>233</v>
      </c>
      <c r="N71" t="s">
        <v>30</v>
      </c>
      <c r="O71" t="s">
        <v>31</v>
      </c>
      <c r="P71" s="4" t="str">
        <f t="shared" si="1"/>
        <v>OK</v>
      </c>
    </row>
    <row r="72" spans="1:16">
      <c r="A72" t="s">
        <v>169</v>
      </c>
      <c r="B72" t="s">
        <v>170</v>
      </c>
      <c r="C72" t="s">
        <v>64</v>
      </c>
      <c r="D72" t="s">
        <v>28</v>
      </c>
      <c r="E72" s="1">
        <v>45.89</v>
      </c>
      <c r="F72" s="1">
        <v>19.190000000000001</v>
      </c>
      <c r="G72" s="1">
        <v>26.7</v>
      </c>
      <c r="H72" s="2">
        <v>0.58179999999999998</v>
      </c>
      <c r="I72" t="s">
        <v>29</v>
      </c>
      <c r="J72" s="4">
        <v>65</v>
      </c>
      <c r="K72" s="4">
        <v>15</v>
      </c>
      <c r="L72" s="4">
        <v>241</v>
      </c>
      <c r="M72" s="4">
        <v>306</v>
      </c>
      <c r="N72" t="s">
        <v>30</v>
      </c>
      <c r="O72" t="s">
        <v>31</v>
      </c>
      <c r="P72" s="4" t="str">
        <f t="shared" si="1"/>
        <v>OK</v>
      </c>
    </row>
    <row r="73" spans="1:16">
      <c r="A73" t="s">
        <v>171</v>
      </c>
      <c r="B73" t="s">
        <v>172</v>
      </c>
      <c r="C73" t="s">
        <v>85</v>
      </c>
      <c r="D73" t="s">
        <v>28</v>
      </c>
      <c r="E73" s="1">
        <v>62.61</v>
      </c>
      <c r="F73" s="1">
        <v>19.71</v>
      </c>
      <c r="G73" s="1">
        <v>42.9</v>
      </c>
      <c r="H73" s="2">
        <v>0.68519999999999992</v>
      </c>
      <c r="I73" t="s">
        <v>29</v>
      </c>
      <c r="J73" s="4">
        <v>31</v>
      </c>
      <c r="K73" s="4">
        <v>15</v>
      </c>
      <c r="L73" s="4">
        <v>287</v>
      </c>
      <c r="M73" s="4">
        <v>318</v>
      </c>
      <c r="N73" t="s">
        <v>30</v>
      </c>
      <c r="O73" t="s">
        <v>31</v>
      </c>
      <c r="P73" s="4" t="str">
        <f t="shared" si="1"/>
        <v>OK</v>
      </c>
    </row>
    <row r="74" spans="1:16">
      <c r="A74" t="s">
        <v>173</v>
      </c>
      <c r="B74" t="s">
        <v>174</v>
      </c>
      <c r="C74" t="s">
        <v>64</v>
      </c>
      <c r="D74" t="s">
        <v>28</v>
      </c>
      <c r="E74" s="1">
        <v>25.64</v>
      </c>
      <c r="F74" s="1">
        <v>11.56</v>
      </c>
      <c r="G74" s="1">
        <v>14.08</v>
      </c>
      <c r="H74" s="2">
        <v>0.54909999999999992</v>
      </c>
      <c r="I74" t="s">
        <v>29</v>
      </c>
      <c r="J74" s="4">
        <v>59</v>
      </c>
      <c r="K74" s="4">
        <v>15</v>
      </c>
      <c r="L74" s="4">
        <v>178</v>
      </c>
      <c r="M74" s="4">
        <v>237</v>
      </c>
      <c r="N74" t="s">
        <v>30</v>
      </c>
      <c r="O74" t="s">
        <v>31</v>
      </c>
      <c r="P74" s="4" t="str">
        <f t="shared" si="1"/>
        <v>OK</v>
      </c>
    </row>
    <row r="75" spans="1:16">
      <c r="A75" t="s">
        <v>175</v>
      </c>
      <c r="B75" t="s">
        <v>176</v>
      </c>
      <c r="C75" t="s">
        <v>64</v>
      </c>
      <c r="D75" t="s">
        <v>28</v>
      </c>
      <c r="E75" s="1">
        <v>83.27</v>
      </c>
      <c r="F75" s="1">
        <v>25.87</v>
      </c>
      <c r="G75" s="1">
        <v>57.4</v>
      </c>
      <c r="H75" s="2">
        <v>0.68930000000000002</v>
      </c>
      <c r="I75" t="s">
        <v>29</v>
      </c>
      <c r="J75" s="4">
        <v>14</v>
      </c>
      <c r="K75" s="4">
        <v>15</v>
      </c>
      <c r="L75" s="4">
        <v>325</v>
      </c>
      <c r="M75" s="4">
        <v>339</v>
      </c>
      <c r="N75" t="s">
        <v>73</v>
      </c>
      <c r="O75" t="s">
        <v>31</v>
      </c>
      <c r="P75" s="4" t="str">
        <f t="shared" si="1"/>
        <v>OK</v>
      </c>
    </row>
    <row r="76" spans="1:16">
      <c r="A76" t="s">
        <v>177</v>
      </c>
      <c r="B76" t="s">
        <v>178</v>
      </c>
      <c r="C76" t="s">
        <v>64</v>
      </c>
      <c r="D76" t="s">
        <v>28</v>
      </c>
      <c r="E76" s="1">
        <v>26.33</v>
      </c>
      <c r="F76" s="1">
        <v>19.39</v>
      </c>
      <c r="G76" s="1">
        <v>6.94</v>
      </c>
      <c r="H76" s="2">
        <v>0.2636</v>
      </c>
      <c r="I76" t="s">
        <v>29</v>
      </c>
      <c r="J76" s="4">
        <v>21</v>
      </c>
      <c r="K76" s="4">
        <v>15</v>
      </c>
      <c r="L76" s="4">
        <v>452</v>
      </c>
      <c r="M76" s="4">
        <v>473</v>
      </c>
      <c r="N76" t="s">
        <v>30</v>
      </c>
      <c r="O76" t="s">
        <v>31</v>
      </c>
      <c r="P76" s="4" t="str">
        <f t="shared" si="1"/>
        <v>OK</v>
      </c>
    </row>
    <row r="77" spans="1:16">
      <c r="A77" t="s">
        <v>179</v>
      </c>
      <c r="B77" t="s">
        <v>180</v>
      </c>
      <c r="C77" t="s">
        <v>64</v>
      </c>
      <c r="D77" t="s">
        <v>28</v>
      </c>
      <c r="E77" s="1">
        <v>33.090000000000003</v>
      </c>
      <c r="F77" s="1">
        <v>24.27</v>
      </c>
      <c r="G77" s="1">
        <v>8.82</v>
      </c>
      <c r="H77" s="2">
        <v>0.26649999999999996</v>
      </c>
      <c r="I77" t="s">
        <v>29</v>
      </c>
      <c r="J77" s="4">
        <v>57</v>
      </c>
      <c r="K77" s="4">
        <v>15</v>
      </c>
      <c r="L77" s="4">
        <v>32</v>
      </c>
      <c r="M77" s="4">
        <v>89</v>
      </c>
      <c r="N77" t="s">
        <v>30</v>
      </c>
      <c r="O77" t="s">
        <v>31</v>
      </c>
      <c r="P77" s="4" t="str">
        <f t="shared" si="1"/>
        <v>OK</v>
      </c>
    </row>
    <row r="78" spans="1:16">
      <c r="A78" t="s">
        <v>181</v>
      </c>
      <c r="B78" t="s">
        <v>182</v>
      </c>
      <c r="C78" t="s">
        <v>64</v>
      </c>
      <c r="D78" t="s">
        <v>28</v>
      </c>
      <c r="F78" s="1">
        <v>24.08</v>
      </c>
      <c r="H78" s="1"/>
      <c r="I78" t="s">
        <v>18</v>
      </c>
      <c r="J78" s="4">
        <v>33</v>
      </c>
      <c r="K78" s="4">
        <v>15</v>
      </c>
      <c r="L78" s="4">
        <v>347</v>
      </c>
      <c r="M78" s="4">
        <v>380</v>
      </c>
      <c r="N78" t="s">
        <v>30</v>
      </c>
      <c r="O78" t="s">
        <v>31</v>
      </c>
      <c r="P78" s="4" t="str">
        <f t="shared" si="1"/>
        <v>OK</v>
      </c>
    </row>
    <row r="79" spans="1:16">
      <c r="A79" t="s">
        <v>183</v>
      </c>
      <c r="B79" t="s">
        <v>184</v>
      </c>
      <c r="C79" t="s">
        <v>39</v>
      </c>
      <c r="D79" t="s">
        <v>28</v>
      </c>
      <c r="E79" s="1">
        <v>15.4</v>
      </c>
      <c r="F79" s="1">
        <v>5.94</v>
      </c>
      <c r="G79" s="1">
        <v>9.4600000000000009</v>
      </c>
      <c r="H79" s="2">
        <v>0.61429999999999996</v>
      </c>
      <c r="I79" t="s">
        <v>29</v>
      </c>
      <c r="J79" s="4">
        <v>44</v>
      </c>
      <c r="K79" s="4">
        <v>15</v>
      </c>
      <c r="L79" s="4">
        <v>342</v>
      </c>
      <c r="M79" s="4">
        <v>386</v>
      </c>
      <c r="N79" t="s">
        <v>30</v>
      </c>
      <c r="O79" t="s">
        <v>31</v>
      </c>
      <c r="P79" s="4" t="str">
        <f t="shared" si="1"/>
        <v>OK</v>
      </c>
    </row>
    <row r="80" spans="1:16">
      <c r="A80" t="s">
        <v>185</v>
      </c>
      <c r="B80" t="s">
        <v>186</v>
      </c>
      <c r="C80" t="s">
        <v>64</v>
      </c>
      <c r="D80" t="s">
        <v>28</v>
      </c>
      <c r="E80" s="1">
        <v>45.92</v>
      </c>
      <c r="F80" s="1">
        <v>18.63</v>
      </c>
      <c r="G80" s="1">
        <v>27.29</v>
      </c>
      <c r="H80" s="2">
        <v>0.59430000000000005</v>
      </c>
      <c r="I80" t="s">
        <v>29</v>
      </c>
      <c r="J80" s="4">
        <v>61</v>
      </c>
      <c r="K80" s="4">
        <v>15</v>
      </c>
      <c r="L80" s="4">
        <v>40</v>
      </c>
      <c r="M80" s="4">
        <v>101</v>
      </c>
      <c r="N80" t="s">
        <v>30</v>
      </c>
      <c r="O80" t="s">
        <v>31</v>
      </c>
      <c r="P80" s="4" t="str">
        <f t="shared" si="1"/>
        <v>OK</v>
      </c>
    </row>
    <row r="81" spans="1:16">
      <c r="A81" t="s">
        <v>187</v>
      </c>
      <c r="B81" t="s">
        <v>188</v>
      </c>
      <c r="C81" t="s">
        <v>64</v>
      </c>
      <c r="D81" t="s">
        <v>28</v>
      </c>
      <c r="E81" s="1">
        <v>20.93</v>
      </c>
      <c r="F81" s="1">
        <v>14.05</v>
      </c>
      <c r="G81" s="1">
        <v>6.88</v>
      </c>
      <c r="H81" s="2">
        <v>0.32869999999999999</v>
      </c>
      <c r="I81" t="s">
        <v>29</v>
      </c>
      <c r="J81" s="4">
        <v>40</v>
      </c>
      <c r="K81" s="4">
        <v>15</v>
      </c>
      <c r="L81" s="4">
        <v>321</v>
      </c>
      <c r="M81" s="4">
        <v>361</v>
      </c>
      <c r="N81" t="s">
        <v>30</v>
      </c>
      <c r="O81" t="s">
        <v>31</v>
      </c>
      <c r="P81" s="4" t="str">
        <f t="shared" si="1"/>
        <v>OK</v>
      </c>
    </row>
    <row r="82" spans="1:16">
      <c r="A82" t="s">
        <v>189</v>
      </c>
      <c r="B82" t="s">
        <v>190</v>
      </c>
      <c r="C82" t="s">
        <v>122</v>
      </c>
      <c r="D82" t="s">
        <v>28</v>
      </c>
      <c r="E82" s="1">
        <v>91.5</v>
      </c>
      <c r="F82" s="1">
        <v>29.8</v>
      </c>
      <c r="G82" s="1">
        <v>61.7</v>
      </c>
      <c r="H82" s="2">
        <v>0.67430000000000012</v>
      </c>
      <c r="I82" t="s">
        <v>29</v>
      </c>
      <c r="J82" s="4">
        <v>58</v>
      </c>
      <c r="K82" s="4">
        <v>15</v>
      </c>
      <c r="L82" s="4">
        <v>265</v>
      </c>
      <c r="M82" s="4">
        <v>323</v>
      </c>
      <c r="N82" t="s">
        <v>30</v>
      </c>
      <c r="O82" t="s">
        <v>31</v>
      </c>
      <c r="P82" s="4" t="str">
        <f t="shared" si="1"/>
        <v>OK</v>
      </c>
    </row>
    <row r="83" spans="1:16">
      <c r="A83" t="s">
        <v>191</v>
      </c>
      <c r="B83" t="s">
        <v>192</v>
      </c>
      <c r="C83" t="s">
        <v>122</v>
      </c>
      <c r="D83" t="s">
        <v>28</v>
      </c>
      <c r="E83" s="1">
        <v>84.98</v>
      </c>
      <c r="F83" s="1">
        <v>40.299999999999997</v>
      </c>
      <c r="G83" s="1">
        <v>44.68</v>
      </c>
      <c r="H83" s="2">
        <v>0.52579999999999993</v>
      </c>
      <c r="I83" t="s">
        <v>29</v>
      </c>
      <c r="J83" s="4">
        <v>25</v>
      </c>
      <c r="K83" s="4">
        <v>15</v>
      </c>
      <c r="L83" s="4">
        <v>156</v>
      </c>
      <c r="M83" s="4">
        <v>181</v>
      </c>
      <c r="N83" t="s">
        <v>30</v>
      </c>
      <c r="O83" t="s">
        <v>31</v>
      </c>
      <c r="P83" s="4" t="str">
        <f t="shared" si="1"/>
        <v>OK</v>
      </c>
    </row>
    <row r="84" spans="1:16">
      <c r="A84" t="s">
        <v>193</v>
      </c>
      <c r="B84" t="s">
        <v>194</v>
      </c>
      <c r="C84" t="s">
        <v>122</v>
      </c>
      <c r="D84" t="s">
        <v>28</v>
      </c>
      <c r="E84" s="1">
        <v>72.52</v>
      </c>
      <c r="F84" s="1">
        <v>26.53</v>
      </c>
      <c r="G84" s="1">
        <v>45.99</v>
      </c>
      <c r="H84" s="2">
        <v>0.63419999999999999</v>
      </c>
      <c r="I84" t="s">
        <v>29</v>
      </c>
      <c r="J84" s="4">
        <v>30</v>
      </c>
      <c r="K84" s="4">
        <v>15</v>
      </c>
      <c r="L84" s="4">
        <v>335</v>
      </c>
      <c r="M84" s="4">
        <v>365</v>
      </c>
      <c r="N84" t="s">
        <v>30</v>
      </c>
      <c r="O84" t="s">
        <v>31</v>
      </c>
      <c r="P84" s="4" t="str">
        <f t="shared" si="1"/>
        <v>DUPLICATE</v>
      </c>
    </row>
    <row r="85" spans="1:16">
      <c r="A85" t="s">
        <v>195</v>
      </c>
      <c r="B85" t="s">
        <v>196</v>
      </c>
      <c r="C85" t="s">
        <v>78</v>
      </c>
      <c r="D85" t="s">
        <v>28</v>
      </c>
      <c r="E85" s="1">
        <v>85.52</v>
      </c>
      <c r="F85" s="1">
        <v>55.38</v>
      </c>
      <c r="G85" s="1">
        <v>30.14</v>
      </c>
      <c r="H85" s="2">
        <v>0.35240000000000005</v>
      </c>
      <c r="I85" t="s">
        <v>29</v>
      </c>
      <c r="J85" s="4">
        <v>85</v>
      </c>
      <c r="K85" s="4">
        <v>15</v>
      </c>
      <c r="L85" s="4">
        <v>149</v>
      </c>
      <c r="M85" s="4">
        <v>234</v>
      </c>
      <c r="N85" t="s">
        <v>30</v>
      </c>
      <c r="O85" t="s">
        <v>31</v>
      </c>
      <c r="P85" s="4" t="str">
        <f t="shared" si="1"/>
        <v>OK</v>
      </c>
    </row>
    <row r="86" spans="1:16">
      <c r="A86" t="s">
        <v>197</v>
      </c>
      <c r="B86" t="s">
        <v>198</v>
      </c>
      <c r="C86" t="s">
        <v>122</v>
      </c>
      <c r="D86" t="s">
        <v>28</v>
      </c>
      <c r="E86" s="1">
        <v>98.78</v>
      </c>
      <c r="F86" s="1">
        <v>64.13</v>
      </c>
      <c r="G86" s="1">
        <v>34.65</v>
      </c>
      <c r="H86" s="2">
        <v>0.3508</v>
      </c>
      <c r="I86" t="s">
        <v>29</v>
      </c>
      <c r="J86" s="4">
        <v>76</v>
      </c>
      <c r="K86" s="4">
        <v>15</v>
      </c>
      <c r="L86" s="4">
        <v>199</v>
      </c>
      <c r="M86" s="4">
        <v>275</v>
      </c>
      <c r="N86" t="s">
        <v>30</v>
      </c>
      <c r="O86" t="s">
        <v>31</v>
      </c>
      <c r="P86" s="4" t="str">
        <f t="shared" si="1"/>
        <v>OK</v>
      </c>
    </row>
    <row r="87" spans="1:16">
      <c r="A87" t="s">
        <v>199</v>
      </c>
      <c r="B87" t="s">
        <v>200</v>
      </c>
      <c r="C87" t="s">
        <v>122</v>
      </c>
      <c r="D87" t="s">
        <v>28</v>
      </c>
      <c r="E87" s="1">
        <v>74.34</v>
      </c>
      <c r="F87" s="1">
        <v>34.630000000000003</v>
      </c>
      <c r="G87" s="1">
        <v>39.71</v>
      </c>
      <c r="H87" s="2">
        <v>0.53420000000000001</v>
      </c>
      <c r="I87" t="s">
        <v>29</v>
      </c>
      <c r="J87" s="4">
        <v>90</v>
      </c>
      <c r="K87" s="4">
        <v>15</v>
      </c>
      <c r="L87" s="4">
        <v>273</v>
      </c>
      <c r="M87" s="4">
        <v>363</v>
      </c>
      <c r="N87" t="s">
        <v>30</v>
      </c>
      <c r="O87" t="s">
        <v>31</v>
      </c>
      <c r="P87" s="4" t="str">
        <f t="shared" si="1"/>
        <v>OK</v>
      </c>
    </row>
    <row r="88" spans="1:16">
      <c r="A88" t="s">
        <v>201</v>
      </c>
      <c r="B88" t="s">
        <v>202</v>
      </c>
      <c r="C88" t="s">
        <v>85</v>
      </c>
      <c r="D88" t="s">
        <v>28</v>
      </c>
      <c r="E88" s="1">
        <v>63.07</v>
      </c>
      <c r="F88" s="1">
        <v>46.59</v>
      </c>
      <c r="G88" s="1">
        <v>16.48</v>
      </c>
      <c r="H88" s="2">
        <v>0.26129999999999998</v>
      </c>
      <c r="I88" t="s">
        <v>29</v>
      </c>
      <c r="J88" s="4">
        <v>71</v>
      </c>
      <c r="K88" s="4">
        <v>15</v>
      </c>
      <c r="L88" s="4">
        <v>264</v>
      </c>
      <c r="M88" s="4">
        <v>335</v>
      </c>
      <c r="N88" t="s">
        <v>30</v>
      </c>
      <c r="O88" t="s">
        <v>31</v>
      </c>
      <c r="P88" s="4" t="str">
        <f t="shared" si="1"/>
        <v>OK</v>
      </c>
    </row>
    <row r="89" spans="1:16">
      <c r="A89" t="s">
        <v>203</v>
      </c>
      <c r="B89" t="s">
        <v>204</v>
      </c>
      <c r="C89" t="s">
        <v>122</v>
      </c>
      <c r="D89" t="s">
        <v>28</v>
      </c>
      <c r="E89" s="1">
        <v>67.94</v>
      </c>
      <c r="F89" s="1">
        <v>24.04</v>
      </c>
      <c r="G89" s="1">
        <v>43.9</v>
      </c>
      <c r="H89" s="2">
        <v>0.6462</v>
      </c>
      <c r="I89" t="s">
        <v>29</v>
      </c>
      <c r="J89" s="4">
        <v>37</v>
      </c>
      <c r="K89" s="4">
        <v>15</v>
      </c>
      <c r="L89" s="4">
        <v>85</v>
      </c>
      <c r="M89" s="4">
        <v>122</v>
      </c>
      <c r="N89" t="s">
        <v>30</v>
      </c>
      <c r="O89" t="s">
        <v>31</v>
      </c>
      <c r="P89" s="4" t="str">
        <f t="shared" si="1"/>
        <v>OK</v>
      </c>
    </row>
    <row r="90" spans="1:16">
      <c r="A90" t="s">
        <v>205</v>
      </c>
      <c r="B90" t="s">
        <v>206</v>
      </c>
      <c r="C90" t="s">
        <v>122</v>
      </c>
      <c r="D90" t="s">
        <v>28</v>
      </c>
      <c r="E90" s="1">
        <v>14.65</v>
      </c>
      <c r="F90" s="1">
        <v>9.8000000000000007</v>
      </c>
      <c r="G90" s="1">
        <v>4.8499999999999996</v>
      </c>
      <c r="H90" s="2">
        <v>0.33110000000000001</v>
      </c>
      <c r="I90" t="s">
        <v>29</v>
      </c>
      <c r="J90" s="4">
        <v>16</v>
      </c>
      <c r="K90" s="4">
        <v>15</v>
      </c>
      <c r="L90" s="4">
        <v>197</v>
      </c>
      <c r="M90" s="4">
        <v>213</v>
      </c>
      <c r="N90" t="s">
        <v>30</v>
      </c>
      <c r="O90" t="s">
        <v>31</v>
      </c>
      <c r="P90" s="4" t="str">
        <f t="shared" si="1"/>
        <v>OK</v>
      </c>
    </row>
    <row r="91" spans="1:16">
      <c r="A91" t="s">
        <v>207</v>
      </c>
      <c r="B91" t="s">
        <v>208</v>
      </c>
      <c r="C91" t="s">
        <v>34</v>
      </c>
      <c r="D91" t="s">
        <v>28</v>
      </c>
      <c r="E91" s="1">
        <v>89.18</v>
      </c>
      <c r="F91" s="1">
        <v>44.1</v>
      </c>
      <c r="G91" s="1">
        <v>45.08</v>
      </c>
      <c r="H91" s="2">
        <v>0.50549999999999995</v>
      </c>
      <c r="I91" t="s">
        <v>29</v>
      </c>
      <c r="J91" s="4">
        <v>62</v>
      </c>
      <c r="K91" s="4">
        <v>15</v>
      </c>
      <c r="L91" s="4">
        <v>379</v>
      </c>
      <c r="M91" s="4">
        <v>441</v>
      </c>
      <c r="N91" t="s">
        <v>30</v>
      </c>
      <c r="O91" t="s">
        <v>31</v>
      </c>
      <c r="P91" s="4" t="str">
        <f t="shared" si="1"/>
        <v>OK</v>
      </c>
    </row>
    <row r="92" spans="1:16">
      <c r="A92" t="s">
        <v>209</v>
      </c>
      <c r="B92" t="s">
        <v>210</v>
      </c>
      <c r="C92" t="s">
        <v>122</v>
      </c>
      <c r="D92" t="s">
        <v>28</v>
      </c>
      <c r="E92" s="1">
        <v>142.36000000000001</v>
      </c>
      <c r="F92" s="1">
        <v>51.42</v>
      </c>
      <c r="G92" s="1">
        <v>90.94</v>
      </c>
      <c r="H92" s="2">
        <v>0.63880000000000003</v>
      </c>
      <c r="I92" t="s">
        <v>29</v>
      </c>
      <c r="J92" s="4">
        <v>41</v>
      </c>
      <c r="K92" s="4">
        <v>15</v>
      </c>
      <c r="L92" s="4">
        <v>342</v>
      </c>
      <c r="M92" s="4">
        <v>383</v>
      </c>
      <c r="N92" t="s">
        <v>30</v>
      </c>
      <c r="O92" t="s">
        <v>31</v>
      </c>
      <c r="P92" s="4" t="str">
        <f t="shared" si="1"/>
        <v>OK</v>
      </c>
    </row>
    <row r="93" spans="1:16">
      <c r="A93" t="s">
        <v>211</v>
      </c>
      <c r="B93" t="s">
        <v>212</v>
      </c>
      <c r="C93" t="s">
        <v>122</v>
      </c>
      <c r="D93" t="s">
        <v>28</v>
      </c>
      <c r="E93" s="1">
        <v>43.86</v>
      </c>
      <c r="F93" s="1">
        <v>13.56</v>
      </c>
      <c r="G93" s="1">
        <v>30.3</v>
      </c>
      <c r="H93" s="2">
        <v>0.69079999999999997</v>
      </c>
      <c r="I93" t="s">
        <v>29</v>
      </c>
      <c r="J93" s="4">
        <v>40</v>
      </c>
      <c r="K93" s="4">
        <v>15</v>
      </c>
      <c r="L93" s="4">
        <v>230</v>
      </c>
      <c r="M93" s="4">
        <v>270</v>
      </c>
      <c r="N93" t="s">
        <v>30</v>
      </c>
      <c r="O93" t="s">
        <v>31</v>
      </c>
      <c r="P93" s="4" t="str">
        <f t="shared" si="1"/>
        <v>OK</v>
      </c>
    </row>
    <row r="94" spans="1:16">
      <c r="A94" t="s">
        <v>213</v>
      </c>
      <c r="B94" t="s">
        <v>214</v>
      </c>
      <c r="C94" t="s">
        <v>39</v>
      </c>
      <c r="D94" t="s">
        <v>28</v>
      </c>
      <c r="E94" s="1">
        <v>41.81</v>
      </c>
      <c r="F94" s="1">
        <v>28.93</v>
      </c>
      <c r="G94" s="1">
        <v>12.88</v>
      </c>
      <c r="H94" s="2">
        <v>0.30809999999999998</v>
      </c>
      <c r="I94" t="s">
        <v>29</v>
      </c>
      <c r="J94" s="4">
        <v>13</v>
      </c>
      <c r="K94" s="4">
        <v>15</v>
      </c>
      <c r="L94" s="4">
        <v>378</v>
      </c>
      <c r="M94" s="4">
        <v>391</v>
      </c>
      <c r="N94" t="s">
        <v>73</v>
      </c>
      <c r="O94" t="s">
        <v>31</v>
      </c>
      <c r="P94" s="4" t="str">
        <f t="shared" si="1"/>
        <v>OK</v>
      </c>
    </row>
    <row r="95" spans="1:16">
      <c r="A95" t="s">
        <v>215</v>
      </c>
      <c r="B95" t="s">
        <v>216</v>
      </c>
      <c r="C95" t="s">
        <v>122</v>
      </c>
      <c r="D95" t="s">
        <v>28</v>
      </c>
      <c r="E95" s="1">
        <v>84.02</v>
      </c>
      <c r="F95" s="1">
        <v>52.43</v>
      </c>
      <c r="G95" s="1">
        <v>31.59</v>
      </c>
      <c r="H95" s="2">
        <v>0.376</v>
      </c>
      <c r="I95" t="s">
        <v>29</v>
      </c>
      <c r="J95" s="4">
        <v>23</v>
      </c>
      <c r="K95" s="4">
        <v>15</v>
      </c>
      <c r="L95" s="4">
        <v>364</v>
      </c>
      <c r="M95" s="4">
        <v>387</v>
      </c>
      <c r="N95" t="s">
        <v>30</v>
      </c>
      <c r="O95" t="s">
        <v>31</v>
      </c>
      <c r="P95" s="4" t="str">
        <f t="shared" si="1"/>
        <v>OK</v>
      </c>
    </row>
    <row r="96" spans="1:16">
      <c r="A96" t="s">
        <v>217</v>
      </c>
      <c r="B96" t="s">
        <v>218</v>
      </c>
      <c r="C96" t="s">
        <v>122</v>
      </c>
      <c r="D96" t="s">
        <v>28</v>
      </c>
      <c r="E96" s="1">
        <v>24.51</v>
      </c>
      <c r="F96" s="1">
        <v>14.73</v>
      </c>
      <c r="G96" s="1">
        <v>9.7799999999999994</v>
      </c>
      <c r="H96" s="2">
        <v>0.39899999999999997</v>
      </c>
      <c r="I96" t="s">
        <v>29</v>
      </c>
      <c r="J96" s="4">
        <v>17</v>
      </c>
      <c r="K96" s="4">
        <v>15</v>
      </c>
      <c r="L96" s="4">
        <v>155</v>
      </c>
      <c r="M96" s="4">
        <v>172</v>
      </c>
      <c r="N96" t="s">
        <v>30</v>
      </c>
      <c r="O96" t="s">
        <v>31</v>
      </c>
      <c r="P96" s="4" t="str">
        <f t="shared" si="1"/>
        <v>OK</v>
      </c>
    </row>
    <row r="97" spans="1:16">
      <c r="A97" t="s">
        <v>219</v>
      </c>
      <c r="B97" t="s">
        <v>220</v>
      </c>
      <c r="C97" t="s">
        <v>34</v>
      </c>
      <c r="D97" t="s">
        <v>28</v>
      </c>
      <c r="E97" s="1">
        <v>26.87</v>
      </c>
      <c r="F97" s="1">
        <v>13.25</v>
      </c>
      <c r="G97" s="1">
        <v>13.62</v>
      </c>
      <c r="H97" s="2">
        <v>0.50690000000000002</v>
      </c>
      <c r="I97" t="s">
        <v>29</v>
      </c>
      <c r="J97" s="4">
        <v>84</v>
      </c>
      <c r="K97" s="4">
        <v>15</v>
      </c>
      <c r="L97" s="4">
        <v>396</v>
      </c>
      <c r="M97" s="4">
        <v>480</v>
      </c>
      <c r="N97" t="s">
        <v>30</v>
      </c>
      <c r="O97" t="s">
        <v>31</v>
      </c>
      <c r="P97" s="4" t="str">
        <f t="shared" si="1"/>
        <v>OK</v>
      </c>
    </row>
    <row r="98" spans="1:16">
      <c r="A98" t="s">
        <v>221</v>
      </c>
      <c r="B98" t="s">
        <v>222</v>
      </c>
      <c r="C98" t="s">
        <v>122</v>
      </c>
      <c r="D98" t="s">
        <v>28</v>
      </c>
      <c r="E98" s="1">
        <v>25.79</v>
      </c>
      <c r="F98" s="1">
        <v>8.06</v>
      </c>
      <c r="G98" s="1">
        <v>17.73</v>
      </c>
      <c r="H98" s="2">
        <v>0.6875</v>
      </c>
      <c r="I98" t="s">
        <v>29</v>
      </c>
      <c r="J98" s="4">
        <v>87</v>
      </c>
      <c r="K98" s="4">
        <v>15</v>
      </c>
      <c r="L98" s="4">
        <v>267</v>
      </c>
      <c r="M98" s="4">
        <v>354</v>
      </c>
      <c r="N98" t="s">
        <v>30</v>
      </c>
      <c r="O98" t="s">
        <v>31</v>
      </c>
      <c r="P98" s="4" t="str">
        <f t="shared" si="1"/>
        <v>OK</v>
      </c>
    </row>
    <row r="99" spans="1:16">
      <c r="A99" t="s">
        <v>223</v>
      </c>
      <c r="B99" t="s">
        <v>224</v>
      </c>
      <c r="C99" t="s">
        <v>122</v>
      </c>
      <c r="D99" t="s">
        <v>28</v>
      </c>
      <c r="E99" s="1">
        <v>22.81</v>
      </c>
      <c r="F99" s="1">
        <v>10.18</v>
      </c>
      <c r="G99" s="1">
        <v>12.63</v>
      </c>
      <c r="H99" s="2">
        <v>0.55369999999999997</v>
      </c>
      <c r="I99" t="s">
        <v>29</v>
      </c>
      <c r="J99" s="4">
        <v>70</v>
      </c>
      <c r="K99" s="4">
        <v>15</v>
      </c>
      <c r="L99" s="4">
        <v>264</v>
      </c>
      <c r="M99" s="4">
        <v>334</v>
      </c>
      <c r="N99" t="s">
        <v>30</v>
      </c>
      <c r="O99" t="s">
        <v>31</v>
      </c>
      <c r="P99" s="4" t="str">
        <f t="shared" si="1"/>
        <v>OK</v>
      </c>
    </row>
    <row r="100" spans="1:16">
      <c r="A100" t="s">
        <v>225</v>
      </c>
      <c r="B100" t="s">
        <v>226</v>
      </c>
      <c r="C100" t="s">
        <v>27</v>
      </c>
      <c r="D100" t="s">
        <v>28</v>
      </c>
      <c r="E100" s="1">
        <v>12.37</v>
      </c>
      <c r="F100" s="1">
        <v>14.64</v>
      </c>
      <c r="G100" s="1">
        <v>-2.27</v>
      </c>
      <c r="H100" s="2">
        <v>-0.18350000000000002</v>
      </c>
      <c r="I100" t="s">
        <v>127</v>
      </c>
      <c r="J100" s="4">
        <v>14</v>
      </c>
      <c r="K100" s="4">
        <v>15</v>
      </c>
      <c r="L100" s="4">
        <v>70</v>
      </c>
      <c r="M100" s="4">
        <v>84</v>
      </c>
      <c r="N100" t="s">
        <v>73</v>
      </c>
      <c r="O100" t="s">
        <v>31</v>
      </c>
      <c r="P100" s="4" t="str">
        <f t="shared" si="1"/>
        <v>OK</v>
      </c>
    </row>
    <row r="101" spans="1:16">
      <c r="A101" t="s">
        <v>227</v>
      </c>
      <c r="B101" t="s">
        <v>228</v>
      </c>
      <c r="C101" t="s">
        <v>122</v>
      </c>
      <c r="D101" t="s">
        <v>28</v>
      </c>
      <c r="E101" s="1">
        <v>58.07</v>
      </c>
      <c r="F101" s="1">
        <v>26.4</v>
      </c>
      <c r="G101" s="1">
        <v>31.67</v>
      </c>
      <c r="H101" s="2">
        <v>0.5454</v>
      </c>
      <c r="I101" t="s">
        <v>29</v>
      </c>
      <c r="J101" s="4">
        <v>35</v>
      </c>
      <c r="K101" s="4">
        <v>15</v>
      </c>
      <c r="L101" s="4">
        <v>53</v>
      </c>
      <c r="M101" s="4">
        <v>88</v>
      </c>
      <c r="N101" t="s">
        <v>30</v>
      </c>
      <c r="O101" t="s">
        <v>31</v>
      </c>
      <c r="P101" s="4" t="str">
        <f t="shared" si="1"/>
        <v>OK</v>
      </c>
    </row>
    <row r="102" spans="1:16">
      <c r="A102" t="s">
        <v>229</v>
      </c>
      <c r="B102" t="s">
        <v>230</v>
      </c>
      <c r="C102" t="s">
        <v>122</v>
      </c>
      <c r="D102" t="s">
        <v>28</v>
      </c>
      <c r="E102" s="1">
        <v>27.63</v>
      </c>
      <c r="F102" s="1">
        <v>15.07</v>
      </c>
      <c r="G102" s="1">
        <v>12.56</v>
      </c>
      <c r="H102" s="2">
        <v>0.4546</v>
      </c>
      <c r="I102" t="s">
        <v>29</v>
      </c>
      <c r="J102" s="4">
        <v>94</v>
      </c>
      <c r="K102" s="4">
        <v>15</v>
      </c>
      <c r="L102" s="4">
        <v>188</v>
      </c>
      <c r="M102" s="4">
        <v>282</v>
      </c>
      <c r="N102" t="s">
        <v>30</v>
      </c>
      <c r="O102" t="s">
        <v>31</v>
      </c>
      <c r="P102" s="4" t="str">
        <f t="shared" si="1"/>
        <v>OK</v>
      </c>
    </row>
    <row r="103" spans="1:16">
      <c r="A103" t="s">
        <v>231</v>
      </c>
      <c r="B103" t="s">
        <v>232</v>
      </c>
      <c r="C103" t="s">
        <v>78</v>
      </c>
      <c r="D103" t="s">
        <v>28</v>
      </c>
      <c r="E103" s="1">
        <v>16.34</v>
      </c>
      <c r="F103" s="1">
        <v>6.63</v>
      </c>
      <c r="G103" s="1">
        <v>9.7100000000000009</v>
      </c>
      <c r="H103" s="2">
        <v>0.59420000000000006</v>
      </c>
      <c r="I103" t="s">
        <v>29</v>
      </c>
      <c r="J103" s="4">
        <v>26</v>
      </c>
      <c r="K103" s="4">
        <v>15</v>
      </c>
      <c r="L103" s="4">
        <v>291</v>
      </c>
      <c r="M103" s="4">
        <v>317</v>
      </c>
      <c r="N103" t="s">
        <v>30</v>
      </c>
      <c r="O103" t="s">
        <v>31</v>
      </c>
      <c r="P103" s="4" t="str">
        <f t="shared" si="1"/>
        <v>OK</v>
      </c>
    </row>
    <row r="104" spans="1:16">
      <c r="A104" t="s">
        <v>233</v>
      </c>
      <c r="B104" t="s">
        <v>234</v>
      </c>
      <c r="C104" t="s">
        <v>122</v>
      </c>
      <c r="D104" t="s">
        <v>28</v>
      </c>
      <c r="E104" s="1">
        <v>24.74</v>
      </c>
      <c r="F104" s="1">
        <v>11.21</v>
      </c>
      <c r="G104" s="1">
        <v>13.53</v>
      </c>
      <c r="H104" s="2">
        <v>0.54689999999999994</v>
      </c>
      <c r="I104" t="s">
        <v>29</v>
      </c>
      <c r="J104" s="4">
        <v>6</v>
      </c>
      <c r="K104" s="4">
        <v>15</v>
      </c>
      <c r="L104" s="4">
        <v>139</v>
      </c>
      <c r="M104" s="4">
        <v>145</v>
      </c>
      <c r="N104" t="s">
        <v>73</v>
      </c>
      <c r="O104" t="s">
        <v>31</v>
      </c>
      <c r="P104" s="4" t="str">
        <f t="shared" si="1"/>
        <v>OK</v>
      </c>
    </row>
    <row r="105" spans="1:16">
      <c r="A105" t="s">
        <v>235</v>
      </c>
      <c r="B105" t="s">
        <v>236</v>
      </c>
      <c r="C105" t="s">
        <v>122</v>
      </c>
      <c r="D105" t="s">
        <v>28</v>
      </c>
      <c r="E105" s="1">
        <v>19.18</v>
      </c>
      <c r="F105" s="1">
        <v>13.78</v>
      </c>
      <c r="G105" s="1">
        <v>5.4</v>
      </c>
      <c r="H105" s="2">
        <v>0.28149999999999997</v>
      </c>
      <c r="I105" t="s">
        <v>29</v>
      </c>
      <c r="J105" s="4">
        <v>45</v>
      </c>
      <c r="K105" s="4">
        <v>15</v>
      </c>
      <c r="L105" s="4">
        <v>124</v>
      </c>
      <c r="M105" s="4">
        <v>169</v>
      </c>
      <c r="N105" t="s">
        <v>30</v>
      </c>
      <c r="O105" t="s">
        <v>31</v>
      </c>
      <c r="P105" s="4" t="str">
        <f t="shared" si="1"/>
        <v>OK</v>
      </c>
    </row>
    <row r="106" spans="1:16">
      <c r="A106" t="s">
        <v>237</v>
      </c>
      <c r="B106" t="s">
        <v>238</v>
      </c>
      <c r="C106" t="s">
        <v>85</v>
      </c>
      <c r="D106" t="s">
        <v>28</v>
      </c>
      <c r="E106" s="1">
        <v>27.5</v>
      </c>
      <c r="F106" s="1">
        <v>10.77</v>
      </c>
      <c r="G106" s="1">
        <v>16.73</v>
      </c>
      <c r="H106" s="2">
        <v>0.60840000000000005</v>
      </c>
      <c r="I106" t="s">
        <v>29</v>
      </c>
      <c r="J106" s="4">
        <v>76</v>
      </c>
      <c r="K106" s="4">
        <v>15</v>
      </c>
      <c r="L106" s="4">
        <v>164</v>
      </c>
      <c r="M106" s="4">
        <v>240</v>
      </c>
      <c r="N106" t="s">
        <v>30</v>
      </c>
      <c r="O106" t="s">
        <v>31</v>
      </c>
      <c r="P106" s="4" t="str">
        <f t="shared" si="1"/>
        <v>OK</v>
      </c>
    </row>
    <row r="107" spans="1:16">
      <c r="A107" t="s">
        <v>239</v>
      </c>
      <c r="B107" t="s">
        <v>240</v>
      </c>
      <c r="C107" t="s">
        <v>85</v>
      </c>
      <c r="D107" t="s">
        <v>28</v>
      </c>
      <c r="E107" s="1">
        <v>28.49</v>
      </c>
      <c r="F107" s="1">
        <v>11.94</v>
      </c>
      <c r="G107" s="1">
        <v>16.55</v>
      </c>
      <c r="H107" s="2">
        <v>0.58090000000000008</v>
      </c>
      <c r="I107" t="s">
        <v>29</v>
      </c>
      <c r="J107" s="4">
        <v>98</v>
      </c>
      <c r="K107" s="4">
        <v>15</v>
      </c>
      <c r="L107" s="4">
        <v>22</v>
      </c>
      <c r="M107" s="4">
        <v>120</v>
      </c>
      <c r="N107" t="s">
        <v>30</v>
      </c>
      <c r="O107" t="s">
        <v>31</v>
      </c>
      <c r="P107" s="4" t="str">
        <f t="shared" si="1"/>
        <v>OK</v>
      </c>
    </row>
    <row r="108" spans="1:16">
      <c r="A108" t="s">
        <v>241</v>
      </c>
      <c r="B108" t="s">
        <v>242</v>
      </c>
      <c r="C108" t="s">
        <v>85</v>
      </c>
      <c r="D108" t="s">
        <v>28</v>
      </c>
      <c r="E108" s="1">
        <v>73.010000000000005</v>
      </c>
      <c r="F108" s="1">
        <v>52.73</v>
      </c>
      <c r="G108" s="1">
        <v>20.28</v>
      </c>
      <c r="H108" s="2">
        <v>0.27779999999999999</v>
      </c>
      <c r="I108" t="s">
        <v>29</v>
      </c>
      <c r="J108" s="4">
        <v>45</v>
      </c>
      <c r="K108" s="4">
        <v>15</v>
      </c>
      <c r="L108" s="4">
        <v>41</v>
      </c>
      <c r="M108" s="4">
        <v>86</v>
      </c>
      <c r="N108" t="s">
        <v>30</v>
      </c>
      <c r="O108" t="s">
        <v>31</v>
      </c>
      <c r="P108" s="4" t="str">
        <f t="shared" si="1"/>
        <v>OK</v>
      </c>
    </row>
    <row r="109" spans="1:16">
      <c r="A109" t="s">
        <v>243</v>
      </c>
      <c r="B109" t="s">
        <v>244</v>
      </c>
      <c r="C109" t="s">
        <v>27</v>
      </c>
      <c r="D109" t="s">
        <v>28</v>
      </c>
      <c r="E109" s="1">
        <v>14.66</v>
      </c>
      <c r="F109" s="1">
        <v>10.73</v>
      </c>
      <c r="G109" s="1">
        <v>3.93</v>
      </c>
      <c r="H109" s="2">
        <v>0.2681</v>
      </c>
      <c r="I109" t="s">
        <v>29</v>
      </c>
      <c r="J109" s="4">
        <v>21</v>
      </c>
      <c r="K109" s="4">
        <v>15</v>
      </c>
      <c r="L109" s="4">
        <v>258</v>
      </c>
      <c r="M109" s="4">
        <v>279</v>
      </c>
      <c r="N109" t="s">
        <v>30</v>
      </c>
      <c r="O109" t="s">
        <v>31</v>
      </c>
      <c r="P109" s="4" t="str">
        <f t="shared" si="1"/>
        <v>OK</v>
      </c>
    </row>
    <row r="110" spans="1:16">
      <c r="A110" t="s">
        <v>245</v>
      </c>
      <c r="B110" t="s">
        <v>246</v>
      </c>
      <c r="C110" t="s">
        <v>85</v>
      </c>
      <c r="D110" t="s">
        <v>28</v>
      </c>
      <c r="E110" s="1">
        <v>19.78</v>
      </c>
      <c r="F110" s="1">
        <v>7.71</v>
      </c>
      <c r="G110" s="1">
        <v>12.07</v>
      </c>
      <c r="H110" s="2">
        <v>0.61020000000000008</v>
      </c>
      <c r="I110" t="s">
        <v>29</v>
      </c>
      <c r="J110" s="4">
        <v>88</v>
      </c>
      <c r="K110" s="4">
        <v>15</v>
      </c>
      <c r="L110" s="4">
        <v>456</v>
      </c>
      <c r="M110" s="4">
        <v>544</v>
      </c>
      <c r="N110" t="s">
        <v>30</v>
      </c>
      <c r="O110" t="s">
        <v>31</v>
      </c>
      <c r="P110" s="4" t="str">
        <f t="shared" si="1"/>
        <v>OK</v>
      </c>
    </row>
    <row r="111" spans="1:16">
      <c r="A111" t="s">
        <v>247</v>
      </c>
      <c r="B111" t="s">
        <v>248</v>
      </c>
      <c r="C111" t="s">
        <v>85</v>
      </c>
      <c r="D111" t="s">
        <v>28</v>
      </c>
      <c r="E111" s="1">
        <v>15.97</v>
      </c>
      <c r="F111" s="1">
        <v>11.22</v>
      </c>
      <c r="G111" s="1">
        <v>4.75</v>
      </c>
      <c r="H111" s="2">
        <v>0.2974</v>
      </c>
      <c r="I111" t="s">
        <v>29</v>
      </c>
      <c r="J111" s="4">
        <v>50</v>
      </c>
      <c r="K111" s="4">
        <v>15</v>
      </c>
      <c r="L111" s="4">
        <v>99</v>
      </c>
      <c r="M111" s="4">
        <v>149</v>
      </c>
      <c r="N111" t="s">
        <v>30</v>
      </c>
      <c r="O111" t="s">
        <v>31</v>
      </c>
      <c r="P111" s="4" t="str">
        <f t="shared" si="1"/>
        <v>OK</v>
      </c>
    </row>
    <row r="112" spans="1:16">
      <c r="A112" t="s">
        <v>249</v>
      </c>
      <c r="B112" t="s">
        <v>250</v>
      </c>
      <c r="C112" t="s">
        <v>39</v>
      </c>
      <c r="D112" t="s">
        <v>28</v>
      </c>
      <c r="E112" s="1">
        <v>38.520000000000003</v>
      </c>
      <c r="F112" s="1">
        <v>16.21</v>
      </c>
      <c r="G112" s="1">
        <v>22.31</v>
      </c>
      <c r="H112" s="2">
        <v>0.57920000000000005</v>
      </c>
      <c r="I112" t="s">
        <v>29</v>
      </c>
      <c r="J112" s="4">
        <v>13</v>
      </c>
      <c r="K112" s="4">
        <v>15</v>
      </c>
      <c r="L112" s="4">
        <v>118</v>
      </c>
      <c r="M112" s="4">
        <v>131</v>
      </c>
      <c r="N112" t="s">
        <v>73</v>
      </c>
      <c r="O112" t="s">
        <v>31</v>
      </c>
      <c r="P112" s="4" t="str">
        <f t="shared" si="1"/>
        <v>OK</v>
      </c>
    </row>
    <row r="113" spans="1:16">
      <c r="A113" t="s">
        <v>251</v>
      </c>
      <c r="B113" t="s">
        <v>252</v>
      </c>
      <c r="C113" t="s">
        <v>85</v>
      </c>
      <c r="D113" t="s">
        <v>28</v>
      </c>
      <c r="E113" s="1">
        <v>43.84</v>
      </c>
      <c r="F113" s="1">
        <v>14.83</v>
      </c>
      <c r="G113" s="1">
        <v>29.01</v>
      </c>
      <c r="H113" s="2">
        <v>0.66170000000000007</v>
      </c>
      <c r="I113" t="s">
        <v>29</v>
      </c>
      <c r="J113" s="4">
        <v>71</v>
      </c>
      <c r="K113" s="4">
        <v>15</v>
      </c>
      <c r="L113" s="4">
        <v>162</v>
      </c>
      <c r="M113" s="4">
        <v>233</v>
      </c>
      <c r="N113" t="s">
        <v>30</v>
      </c>
      <c r="O113" t="s">
        <v>31</v>
      </c>
      <c r="P113" s="4" t="str">
        <f t="shared" si="1"/>
        <v>OK</v>
      </c>
    </row>
    <row r="114" spans="1:16">
      <c r="A114" t="s">
        <v>253</v>
      </c>
      <c r="B114" t="s">
        <v>254</v>
      </c>
      <c r="C114" t="s">
        <v>85</v>
      </c>
      <c r="D114" t="s">
        <v>28</v>
      </c>
      <c r="E114" s="1">
        <v>78.06</v>
      </c>
      <c r="F114" s="1">
        <v>26.36</v>
      </c>
      <c r="G114" s="1">
        <v>51.7</v>
      </c>
      <c r="H114" s="2">
        <v>0.6623</v>
      </c>
      <c r="I114" t="s">
        <v>29</v>
      </c>
      <c r="J114" s="4">
        <v>98</v>
      </c>
      <c r="K114" s="4">
        <v>15</v>
      </c>
      <c r="L114" s="4">
        <v>283</v>
      </c>
      <c r="M114" s="4">
        <v>381</v>
      </c>
      <c r="N114" t="s">
        <v>30</v>
      </c>
      <c r="O114" t="s">
        <v>31</v>
      </c>
      <c r="P114" s="4" t="str">
        <f t="shared" si="1"/>
        <v>OK</v>
      </c>
    </row>
    <row r="115" spans="1:16">
      <c r="A115" t="s">
        <v>255</v>
      </c>
      <c r="B115" t="s">
        <v>256</v>
      </c>
      <c r="C115" t="s">
        <v>27</v>
      </c>
      <c r="D115" t="s">
        <v>28</v>
      </c>
      <c r="E115" s="1">
        <v>10.83</v>
      </c>
      <c r="F115" s="1">
        <v>6.68</v>
      </c>
      <c r="G115" s="1">
        <v>4.1500000000000004</v>
      </c>
      <c r="H115" s="2">
        <v>0.38319999999999999</v>
      </c>
      <c r="I115" t="s">
        <v>29</v>
      </c>
      <c r="J115" s="4">
        <v>93</v>
      </c>
      <c r="K115" s="4">
        <v>15</v>
      </c>
      <c r="L115" s="4">
        <v>475</v>
      </c>
      <c r="M115" s="4">
        <v>568</v>
      </c>
      <c r="N115" t="s">
        <v>30</v>
      </c>
      <c r="O115" t="s">
        <v>31</v>
      </c>
      <c r="P115" s="4" t="str">
        <f t="shared" si="1"/>
        <v>OK</v>
      </c>
    </row>
    <row r="116" spans="1:16">
      <c r="A116" t="s">
        <v>257</v>
      </c>
      <c r="B116" t="s">
        <v>258</v>
      </c>
      <c r="C116" t="s">
        <v>144</v>
      </c>
      <c r="D116" t="s">
        <v>28</v>
      </c>
      <c r="E116" s="1">
        <v>15.83</v>
      </c>
      <c r="F116" s="1">
        <v>11.12</v>
      </c>
      <c r="G116" s="1">
        <v>4.71</v>
      </c>
      <c r="H116" s="2">
        <v>0.29749999999999999</v>
      </c>
      <c r="I116" t="s">
        <v>29</v>
      </c>
      <c r="J116" s="4">
        <v>57</v>
      </c>
      <c r="K116" s="4">
        <v>15</v>
      </c>
      <c r="L116" s="4">
        <v>478</v>
      </c>
      <c r="M116" s="4">
        <v>535</v>
      </c>
      <c r="N116" t="s">
        <v>30</v>
      </c>
      <c r="O116" t="s">
        <v>31</v>
      </c>
      <c r="P116" s="4" t="str">
        <f t="shared" si="1"/>
        <v>OK</v>
      </c>
    </row>
    <row r="117" spans="1:16">
      <c r="A117" t="s">
        <v>259</v>
      </c>
      <c r="B117" t="s">
        <v>260</v>
      </c>
      <c r="C117" t="s">
        <v>85</v>
      </c>
      <c r="D117" t="s">
        <v>28</v>
      </c>
      <c r="E117" s="1">
        <v>26.71</v>
      </c>
      <c r="F117" s="1">
        <v>14.43</v>
      </c>
      <c r="G117" s="1">
        <v>12.28</v>
      </c>
      <c r="H117" s="2">
        <v>0.45979999999999999</v>
      </c>
      <c r="I117" t="s">
        <v>29</v>
      </c>
      <c r="J117" s="4">
        <v>52</v>
      </c>
      <c r="K117" s="4">
        <v>15</v>
      </c>
      <c r="L117" s="4">
        <v>402</v>
      </c>
      <c r="M117" s="4">
        <v>454</v>
      </c>
      <c r="N117" t="s">
        <v>30</v>
      </c>
      <c r="O117" t="s">
        <v>31</v>
      </c>
      <c r="P117" s="4" t="str">
        <f t="shared" si="1"/>
        <v>OK</v>
      </c>
    </row>
    <row r="118" spans="1:16">
      <c r="A118" t="s">
        <v>261</v>
      </c>
      <c r="B118" t="s">
        <v>262</v>
      </c>
      <c r="C118" t="s">
        <v>64</v>
      </c>
      <c r="D118" t="s">
        <v>28</v>
      </c>
      <c r="E118" s="1">
        <v>40.93</v>
      </c>
      <c r="F118" s="1">
        <v>28.89</v>
      </c>
      <c r="G118" s="1">
        <v>12.04</v>
      </c>
      <c r="H118" s="2">
        <v>0.29420000000000002</v>
      </c>
      <c r="I118" t="s">
        <v>29</v>
      </c>
      <c r="J118" s="4">
        <v>24</v>
      </c>
      <c r="K118" s="4">
        <v>15</v>
      </c>
      <c r="L118" s="4">
        <v>252</v>
      </c>
      <c r="M118" s="4">
        <v>276</v>
      </c>
      <c r="N118" t="s">
        <v>30</v>
      </c>
      <c r="O118" t="s">
        <v>31</v>
      </c>
      <c r="P118" s="4" t="str">
        <f t="shared" si="1"/>
        <v>OK</v>
      </c>
    </row>
    <row r="119" spans="1:16">
      <c r="A119" t="s">
        <v>263</v>
      </c>
      <c r="B119" t="s">
        <v>264</v>
      </c>
      <c r="C119" t="s">
        <v>85</v>
      </c>
      <c r="D119" t="s">
        <v>28</v>
      </c>
      <c r="E119" s="1">
        <v>19.649999999999999</v>
      </c>
      <c r="F119" s="1">
        <v>12.35</v>
      </c>
      <c r="G119" s="1">
        <v>7.3</v>
      </c>
      <c r="H119" s="2">
        <v>0.3715</v>
      </c>
      <c r="I119" t="s">
        <v>29</v>
      </c>
      <c r="J119" s="4">
        <v>89</v>
      </c>
      <c r="K119" s="4">
        <v>15</v>
      </c>
      <c r="L119" s="4">
        <v>397</v>
      </c>
      <c r="M119" s="4">
        <v>486</v>
      </c>
      <c r="N119" t="s">
        <v>30</v>
      </c>
      <c r="O119" t="s">
        <v>31</v>
      </c>
      <c r="P119" s="4" t="str">
        <f t="shared" si="1"/>
        <v>OK</v>
      </c>
    </row>
    <row r="120" spans="1:16">
      <c r="A120" t="s">
        <v>265</v>
      </c>
      <c r="B120" t="s">
        <v>266</v>
      </c>
      <c r="C120" t="s">
        <v>85</v>
      </c>
      <c r="D120" t="s">
        <v>28</v>
      </c>
      <c r="E120" s="1">
        <v>55.5</v>
      </c>
      <c r="F120" s="1">
        <v>17.350000000000001</v>
      </c>
      <c r="G120" s="1">
        <v>38.15</v>
      </c>
      <c r="H120" s="2">
        <v>0.6873999999999999</v>
      </c>
      <c r="I120" t="s">
        <v>29</v>
      </c>
      <c r="J120" s="4">
        <v>61</v>
      </c>
      <c r="K120" s="4">
        <v>15</v>
      </c>
      <c r="L120" s="4">
        <v>365</v>
      </c>
      <c r="M120" s="4">
        <v>426</v>
      </c>
      <c r="N120" t="s">
        <v>30</v>
      </c>
      <c r="O120" t="s">
        <v>31</v>
      </c>
      <c r="P120" s="4" t="str">
        <f t="shared" si="1"/>
        <v>OK</v>
      </c>
    </row>
    <row r="121" spans="1:16">
      <c r="A121" t="s">
        <v>267</v>
      </c>
      <c r="B121" t="s">
        <v>268</v>
      </c>
      <c r="C121" t="s">
        <v>64</v>
      </c>
      <c r="D121" t="s">
        <v>28</v>
      </c>
      <c r="F121" s="1">
        <v>16.41</v>
      </c>
      <c r="H121" s="1"/>
      <c r="I121" t="s">
        <v>18</v>
      </c>
      <c r="J121" s="4">
        <v>43</v>
      </c>
      <c r="K121" s="4">
        <v>15</v>
      </c>
      <c r="L121" s="4">
        <v>295</v>
      </c>
      <c r="M121" s="4">
        <v>338</v>
      </c>
      <c r="N121" t="s">
        <v>30</v>
      </c>
      <c r="O121" t="s">
        <v>31</v>
      </c>
      <c r="P121" s="4" t="str">
        <f t="shared" si="1"/>
        <v>OK</v>
      </c>
    </row>
    <row r="122" spans="1:16">
      <c r="A122" t="s">
        <v>269</v>
      </c>
      <c r="B122" t="s">
        <v>270</v>
      </c>
      <c r="C122" t="s">
        <v>85</v>
      </c>
      <c r="D122" t="s">
        <v>28</v>
      </c>
      <c r="E122" s="1">
        <v>31.24</v>
      </c>
      <c r="F122" s="1">
        <v>21.56</v>
      </c>
      <c r="G122" s="1">
        <v>9.68</v>
      </c>
      <c r="H122" s="2">
        <v>0.30990000000000001</v>
      </c>
      <c r="I122" t="s">
        <v>29</v>
      </c>
      <c r="J122" s="4">
        <v>68</v>
      </c>
      <c r="K122" s="4">
        <v>15</v>
      </c>
      <c r="L122" s="4">
        <v>174</v>
      </c>
      <c r="M122" s="4">
        <v>242</v>
      </c>
      <c r="N122" t="s">
        <v>30</v>
      </c>
      <c r="O122" t="s">
        <v>31</v>
      </c>
      <c r="P122" s="4" t="str">
        <f t="shared" si="1"/>
        <v>OK</v>
      </c>
    </row>
    <row r="123" spans="1:16">
      <c r="A123" t="s">
        <v>271</v>
      </c>
      <c r="B123" t="s">
        <v>272</v>
      </c>
      <c r="C123" t="s">
        <v>85</v>
      </c>
      <c r="D123" t="s">
        <v>28</v>
      </c>
      <c r="E123" s="1">
        <v>40.96</v>
      </c>
      <c r="F123" s="1">
        <v>19.579999999999998</v>
      </c>
      <c r="G123" s="1">
        <v>21.38</v>
      </c>
      <c r="H123" s="2">
        <v>0.52200000000000002</v>
      </c>
      <c r="I123" t="s">
        <v>29</v>
      </c>
      <c r="J123" s="4">
        <v>92</v>
      </c>
      <c r="K123" s="4">
        <v>15</v>
      </c>
      <c r="L123" s="4">
        <v>114</v>
      </c>
      <c r="M123" s="4">
        <v>206</v>
      </c>
      <c r="N123" t="s">
        <v>30</v>
      </c>
      <c r="O123" t="s">
        <v>31</v>
      </c>
      <c r="P123" s="4" t="str">
        <f t="shared" si="1"/>
        <v>OK</v>
      </c>
    </row>
    <row r="124" spans="1:16">
      <c r="A124" t="s">
        <v>273</v>
      </c>
      <c r="B124" t="s">
        <v>274</v>
      </c>
      <c r="C124" t="s">
        <v>39</v>
      </c>
      <c r="D124" t="s">
        <v>28</v>
      </c>
      <c r="E124" s="1">
        <v>53</v>
      </c>
      <c r="F124" s="1">
        <v>35.94</v>
      </c>
      <c r="G124" s="1">
        <v>17.059999999999999</v>
      </c>
      <c r="H124" s="2">
        <v>0.32189999999999996</v>
      </c>
      <c r="I124" t="s">
        <v>29</v>
      </c>
      <c r="J124" s="4">
        <v>26</v>
      </c>
      <c r="K124" s="4">
        <v>15</v>
      </c>
      <c r="L124" s="4">
        <v>473</v>
      </c>
      <c r="M124" s="4">
        <v>499</v>
      </c>
      <c r="N124" t="s">
        <v>30</v>
      </c>
      <c r="O124" t="s">
        <v>31</v>
      </c>
      <c r="P124" s="4" t="str">
        <f t="shared" si="1"/>
        <v>OK</v>
      </c>
    </row>
    <row r="125" spans="1:16">
      <c r="A125" t="s">
        <v>275</v>
      </c>
      <c r="B125" t="s">
        <v>276</v>
      </c>
      <c r="C125" t="s">
        <v>85</v>
      </c>
      <c r="D125" t="s">
        <v>28</v>
      </c>
      <c r="E125" s="1">
        <v>22.03</v>
      </c>
      <c r="F125" s="1">
        <v>7.86</v>
      </c>
      <c r="G125" s="1">
        <v>14.17</v>
      </c>
      <c r="H125" s="2">
        <v>0.64319999999999988</v>
      </c>
      <c r="I125" t="s">
        <v>29</v>
      </c>
      <c r="J125" s="4">
        <v>12</v>
      </c>
      <c r="K125" s="4">
        <v>15</v>
      </c>
      <c r="L125" s="4">
        <v>325</v>
      </c>
      <c r="M125" s="4">
        <v>337</v>
      </c>
      <c r="N125" t="s">
        <v>73</v>
      </c>
      <c r="O125" t="s">
        <v>31</v>
      </c>
      <c r="P125" s="4" t="str">
        <f t="shared" si="1"/>
        <v>OK</v>
      </c>
    </row>
    <row r="126" spans="1:16">
      <c r="A126" t="s">
        <v>277</v>
      </c>
      <c r="B126" t="s">
        <v>278</v>
      </c>
      <c r="C126" t="s">
        <v>85</v>
      </c>
      <c r="D126" t="s">
        <v>28</v>
      </c>
      <c r="E126" s="1">
        <v>48.56</v>
      </c>
      <c r="F126" s="1">
        <v>14.7</v>
      </c>
      <c r="G126" s="1">
        <v>33.86</v>
      </c>
      <c r="H126" s="2">
        <v>0.69730000000000003</v>
      </c>
      <c r="I126" t="s">
        <v>29</v>
      </c>
      <c r="J126" s="4">
        <v>85</v>
      </c>
      <c r="K126" s="4">
        <v>15</v>
      </c>
      <c r="L126" s="4">
        <v>406</v>
      </c>
      <c r="M126" s="4">
        <v>491</v>
      </c>
      <c r="N126" t="s">
        <v>30</v>
      </c>
      <c r="O126" t="s">
        <v>31</v>
      </c>
      <c r="P126" s="4" t="str">
        <f t="shared" si="1"/>
        <v>OK</v>
      </c>
    </row>
    <row r="127" spans="1:16">
      <c r="A127" t="s">
        <v>279</v>
      </c>
      <c r="B127" t="s">
        <v>280</v>
      </c>
      <c r="C127" t="s">
        <v>281</v>
      </c>
      <c r="D127" t="s">
        <v>28</v>
      </c>
      <c r="E127" s="1">
        <v>70.94</v>
      </c>
      <c r="F127" s="1">
        <v>46.52</v>
      </c>
      <c r="G127" s="1">
        <v>24.42</v>
      </c>
      <c r="H127" s="2">
        <v>0.34420000000000001</v>
      </c>
      <c r="I127" t="s">
        <v>29</v>
      </c>
      <c r="J127" s="4">
        <v>81</v>
      </c>
      <c r="K127" s="4">
        <v>15</v>
      </c>
      <c r="L127" s="4">
        <v>311</v>
      </c>
      <c r="M127" s="4">
        <v>392</v>
      </c>
      <c r="N127" t="s">
        <v>30</v>
      </c>
      <c r="O127" t="s">
        <v>31</v>
      </c>
      <c r="P127" s="4" t="str">
        <f t="shared" si="1"/>
        <v>OK</v>
      </c>
    </row>
    <row r="128" spans="1:16">
      <c r="A128" t="s">
        <v>282</v>
      </c>
      <c r="B128" t="s">
        <v>283</v>
      </c>
      <c r="C128" t="s">
        <v>85</v>
      </c>
      <c r="D128" t="s">
        <v>28</v>
      </c>
      <c r="E128" s="1">
        <v>33.76</v>
      </c>
      <c r="F128" s="1">
        <v>24.87</v>
      </c>
      <c r="G128" s="1">
        <v>8.89</v>
      </c>
      <c r="H128" s="2">
        <v>0.26329999999999998</v>
      </c>
      <c r="I128" t="s">
        <v>29</v>
      </c>
      <c r="J128" s="4">
        <v>50</v>
      </c>
      <c r="K128" s="4">
        <v>15</v>
      </c>
      <c r="L128" s="4">
        <v>175</v>
      </c>
      <c r="M128" s="4">
        <v>225</v>
      </c>
      <c r="N128" t="s">
        <v>30</v>
      </c>
      <c r="O128" t="s">
        <v>31</v>
      </c>
      <c r="P128" s="4" t="str">
        <f t="shared" si="1"/>
        <v>OK</v>
      </c>
    </row>
    <row r="129" spans="1:16">
      <c r="A129" t="s">
        <v>284</v>
      </c>
      <c r="B129" t="s">
        <v>285</v>
      </c>
      <c r="C129" t="s">
        <v>85</v>
      </c>
      <c r="D129" t="s">
        <v>28</v>
      </c>
      <c r="E129" s="1">
        <v>43.59</v>
      </c>
      <c r="F129" s="1">
        <v>26.73</v>
      </c>
      <c r="G129" s="1">
        <v>16.86</v>
      </c>
      <c r="H129" s="2">
        <v>0.38679999999999998</v>
      </c>
      <c r="I129" t="s">
        <v>29</v>
      </c>
      <c r="J129" s="4">
        <v>9</v>
      </c>
      <c r="K129" s="4">
        <v>15</v>
      </c>
      <c r="L129" s="4">
        <v>62</v>
      </c>
      <c r="M129" s="4">
        <v>71</v>
      </c>
      <c r="N129" t="s">
        <v>73</v>
      </c>
      <c r="O129" t="s">
        <v>31</v>
      </c>
      <c r="P129" s="4" t="str">
        <f t="shared" si="1"/>
        <v>OK</v>
      </c>
    </row>
    <row r="130" spans="1:16">
      <c r="A130" t="s">
        <v>286</v>
      </c>
      <c r="B130" t="s">
        <v>287</v>
      </c>
      <c r="C130" t="s">
        <v>39</v>
      </c>
      <c r="D130" t="s">
        <v>28</v>
      </c>
      <c r="E130" s="1">
        <v>67.14</v>
      </c>
      <c r="F130" s="1">
        <v>41.03</v>
      </c>
      <c r="G130" s="1">
        <v>26.11</v>
      </c>
      <c r="H130" s="2">
        <v>0.38890000000000002</v>
      </c>
      <c r="I130" t="s">
        <v>29</v>
      </c>
      <c r="J130" s="4">
        <v>98</v>
      </c>
      <c r="K130" s="4">
        <v>15</v>
      </c>
      <c r="L130" s="4">
        <v>184</v>
      </c>
      <c r="M130" s="4">
        <v>282</v>
      </c>
      <c r="N130" t="s">
        <v>30</v>
      </c>
      <c r="O130" t="s">
        <v>31</v>
      </c>
      <c r="P130" s="4" t="str">
        <f t="shared" ref="P130:P193" si="2">IF(COUNTIF($B$2:$B$506, B130)&gt;1, "DUPLICATE", "OK")</f>
        <v>OK</v>
      </c>
    </row>
    <row r="131" spans="1:16">
      <c r="A131" t="s">
        <v>288</v>
      </c>
      <c r="B131" t="s">
        <v>289</v>
      </c>
      <c r="C131" t="s">
        <v>85</v>
      </c>
      <c r="D131" t="s">
        <v>28</v>
      </c>
      <c r="E131" s="1">
        <v>96.9</v>
      </c>
      <c r="F131" s="1">
        <v>66.64</v>
      </c>
      <c r="G131" s="1">
        <v>30.26</v>
      </c>
      <c r="H131" s="2">
        <v>0.31230000000000002</v>
      </c>
      <c r="I131" t="s">
        <v>29</v>
      </c>
      <c r="J131" s="4">
        <v>22</v>
      </c>
      <c r="K131" s="4">
        <v>15</v>
      </c>
      <c r="L131" s="4">
        <v>185</v>
      </c>
      <c r="M131" s="4">
        <v>207</v>
      </c>
      <c r="N131" t="s">
        <v>30</v>
      </c>
      <c r="O131" t="s">
        <v>31</v>
      </c>
      <c r="P131" s="4" t="str">
        <f t="shared" si="2"/>
        <v>OK</v>
      </c>
    </row>
    <row r="132" spans="1:16">
      <c r="A132" t="s">
        <v>290</v>
      </c>
      <c r="B132" t="s">
        <v>291</v>
      </c>
      <c r="C132" t="s">
        <v>281</v>
      </c>
      <c r="D132" t="s">
        <v>28</v>
      </c>
      <c r="F132" s="1">
        <v>21.47</v>
      </c>
      <c r="H132" s="1"/>
      <c r="I132" t="s">
        <v>18</v>
      </c>
      <c r="J132" s="4">
        <v>72</v>
      </c>
      <c r="K132" s="4">
        <v>15</v>
      </c>
      <c r="L132" s="4">
        <v>438</v>
      </c>
      <c r="M132" s="4">
        <v>510</v>
      </c>
      <c r="N132" t="s">
        <v>30</v>
      </c>
      <c r="O132" t="s">
        <v>31</v>
      </c>
      <c r="P132" s="4" t="str">
        <f t="shared" si="2"/>
        <v>OK</v>
      </c>
    </row>
    <row r="133" spans="1:16">
      <c r="A133" t="s">
        <v>292</v>
      </c>
      <c r="B133" t="s">
        <v>293</v>
      </c>
      <c r="C133" t="s">
        <v>122</v>
      </c>
      <c r="D133" t="s">
        <v>28</v>
      </c>
      <c r="E133" s="1">
        <v>26.3</v>
      </c>
      <c r="F133" s="1">
        <v>12.87</v>
      </c>
      <c r="G133" s="1">
        <v>13.43</v>
      </c>
      <c r="H133" s="2">
        <v>0.51060000000000005</v>
      </c>
      <c r="I133" t="s">
        <v>29</v>
      </c>
      <c r="J133" s="4">
        <v>76</v>
      </c>
      <c r="K133" s="4">
        <v>15</v>
      </c>
      <c r="L133" s="4">
        <v>183</v>
      </c>
      <c r="M133" s="4">
        <v>259</v>
      </c>
      <c r="N133" t="s">
        <v>30</v>
      </c>
      <c r="O133" t="s">
        <v>31</v>
      </c>
      <c r="P133" s="4" t="str">
        <f t="shared" si="2"/>
        <v>OK</v>
      </c>
    </row>
    <row r="134" spans="1:16">
      <c r="A134" t="s">
        <v>294</v>
      </c>
      <c r="B134" t="s">
        <v>295</v>
      </c>
      <c r="C134" t="s">
        <v>281</v>
      </c>
      <c r="D134" t="s">
        <v>28</v>
      </c>
      <c r="E134" s="1">
        <v>37.229999999999997</v>
      </c>
      <c r="F134" s="1">
        <v>14.8</v>
      </c>
      <c r="G134" s="1">
        <v>22.43</v>
      </c>
      <c r="H134" s="2">
        <v>0.60250000000000004</v>
      </c>
      <c r="I134" t="s">
        <v>29</v>
      </c>
      <c r="J134" s="4">
        <v>72</v>
      </c>
      <c r="K134" s="4">
        <v>15</v>
      </c>
      <c r="L134" s="4">
        <v>229</v>
      </c>
      <c r="M134" s="4">
        <v>301</v>
      </c>
      <c r="N134" t="s">
        <v>30</v>
      </c>
      <c r="O134" t="s">
        <v>31</v>
      </c>
      <c r="P134" s="4" t="str">
        <f t="shared" si="2"/>
        <v>OK</v>
      </c>
    </row>
    <row r="135" spans="1:16">
      <c r="A135" t="s">
        <v>296</v>
      </c>
      <c r="B135" t="s">
        <v>297</v>
      </c>
      <c r="C135" t="s">
        <v>281</v>
      </c>
      <c r="D135" t="s">
        <v>28</v>
      </c>
      <c r="E135" s="1">
        <v>12.8</v>
      </c>
      <c r="F135" s="1">
        <v>6.58</v>
      </c>
      <c r="G135" s="1">
        <v>6.22</v>
      </c>
      <c r="H135" s="2">
        <v>0.48590000000000005</v>
      </c>
      <c r="I135" t="s">
        <v>29</v>
      </c>
      <c r="J135" s="4">
        <v>46</v>
      </c>
      <c r="K135" s="4">
        <v>15</v>
      </c>
      <c r="L135" s="4">
        <v>385</v>
      </c>
      <c r="M135" s="4">
        <v>431</v>
      </c>
      <c r="N135" t="s">
        <v>30</v>
      </c>
      <c r="O135" t="s">
        <v>31</v>
      </c>
      <c r="P135" s="4" t="str">
        <f t="shared" si="2"/>
        <v>OK</v>
      </c>
    </row>
    <row r="136" spans="1:16">
      <c r="A136" t="s">
        <v>298</v>
      </c>
      <c r="B136" t="s">
        <v>299</v>
      </c>
      <c r="C136" t="s">
        <v>34</v>
      </c>
      <c r="D136" t="s">
        <v>28</v>
      </c>
      <c r="E136" s="1">
        <v>437.44</v>
      </c>
      <c r="F136" s="1">
        <v>163.71</v>
      </c>
      <c r="G136" s="1">
        <v>273.73</v>
      </c>
      <c r="H136" s="2">
        <v>0.62580000000000002</v>
      </c>
      <c r="I136" t="s">
        <v>29</v>
      </c>
      <c r="J136" s="4">
        <v>5</v>
      </c>
      <c r="K136" s="4">
        <v>15</v>
      </c>
      <c r="L136" s="4">
        <v>92</v>
      </c>
      <c r="M136" s="4">
        <v>97</v>
      </c>
      <c r="N136" t="s">
        <v>73</v>
      </c>
      <c r="O136" t="s">
        <v>31</v>
      </c>
      <c r="P136" s="4" t="str">
        <f t="shared" si="2"/>
        <v>OK</v>
      </c>
    </row>
    <row r="137" spans="1:16">
      <c r="A137" t="s">
        <v>300</v>
      </c>
      <c r="B137" t="s">
        <v>301</v>
      </c>
      <c r="C137" t="s">
        <v>281</v>
      </c>
      <c r="D137" t="s">
        <v>28</v>
      </c>
      <c r="E137" s="1">
        <v>26.44</v>
      </c>
      <c r="F137" s="1">
        <v>12.48</v>
      </c>
      <c r="G137" s="1">
        <v>13.96</v>
      </c>
      <c r="H137" s="2">
        <v>0.52800000000000002</v>
      </c>
      <c r="I137" t="s">
        <v>29</v>
      </c>
      <c r="J137" s="4">
        <v>100</v>
      </c>
      <c r="K137" s="4">
        <v>15</v>
      </c>
      <c r="L137" s="4">
        <v>412</v>
      </c>
      <c r="M137" s="4">
        <v>512</v>
      </c>
      <c r="N137" t="s">
        <v>30</v>
      </c>
      <c r="O137" t="s">
        <v>31</v>
      </c>
      <c r="P137" s="4" t="str">
        <f t="shared" si="2"/>
        <v>OK</v>
      </c>
    </row>
    <row r="138" spans="1:16">
      <c r="A138" t="s">
        <v>302</v>
      </c>
      <c r="B138" t="s">
        <v>303</v>
      </c>
      <c r="C138" t="s">
        <v>281</v>
      </c>
      <c r="D138" t="s">
        <v>28</v>
      </c>
      <c r="E138" s="1">
        <v>44.36</v>
      </c>
      <c r="F138" s="1">
        <v>14.55</v>
      </c>
      <c r="G138" s="1">
        <v>29.81</v>
      </c>
      <c r="H138" s="2">
        <v>0.67200000000000004</v>
      </c>
      <c r="I138" t="s">
        <v>29</v>
      </c>
      <c r="J138" s="4">
        <v>11</v>
      </c>
      <c r="K138" s="4">
        <v>15</v>
      </c>
      <c r="L138" s="4">
        <v>212</v>
      </c>
      <c r="M138" s="4">
        <v>223</v>
      </c>
      <c r="N138" t="s">
        <v>73</v>
      </c>
      <c r="O138" t="s">
        <v>31</v>
      </c>
      <c r="P138" s="4" t="str">
        <f t="shared" si="2"/>
        <v>OK</v>
      </c>
    </row>
    <row r="139" spans="1:16">
      <c r="A139" t="s">
        <v>304</v>
      </c>
      <c r="B139" t="s">
        <v>305</v>
      </c>
      <c r="C139" t="s">
        <v>34</v>
      </c>
      <c r="D139" t="s">
        <v>28</v>
      </c>
      <c r="E139" s="1">
        <v>124.91</v>
      </c>
      <c r="F139" s="1">
        <v>58.57</v>
      </c>
      <c r="G139" s="1">
        <v>66.34</v>
      </c>
      <c r="H139" s="2">
        <v>0.53110000000000002</v>
      </c>
      <c r="I139" t="s">
        <v>29</v>
      </c>
      <c r="J139" s="4">
        <v>7</v>
      </c>
      <c r="K139" s="4">
        <v>15</v>
      </c>
      <c r="L139" s="4">
        <v>135</v>
      </c>
      <c r="M139" s="4">
        <v>142</v>
      </c>
      <c r="N139" t="s">
        <v>73</v>
      </c>
      <c r="O139" t="s">
        <v>31</v>
      </c>
      <c r="P139" s="4" t="str">
        <f t="shared" si="2"/>
        <v>OK</v>
      </c>
    </row>
    <row r="140" spans="1:16">
      <c r="A140" t="s">
        <v>306</v>
      </c>
      <c r="B140" t="s">
        <v>307</v>
      </c>
      <c r="C140" t="s">
        <v>281</v>
      </c>
      <c r="D140" t="s">
        <v>28</v>
      </c>
      <c r="E140" s="1">
        <v>17.079999999999998</v>
      </c>
      <c r="F140" s="1">
        <v>20.94</v>
      </c>
      <c r="G140" s="1">
        <v>-3.86</v>
      </c>
      <c r="H140" s="2">
        <v>-0.22600000000000001</v>
      </c>
      <c r="I140" t="s">
        <v>127</v>
      </c>
      <c r="J140" s="4">
        <v>41</v>
      </c>
      <c r="K140" s="4">
        <v>15</v>
      </c>
      <c r="L140" s="4">
        <v>89</v>
      </c>
      <c r="M140" s="4">
        <v>130</v>
      </c>
      <c r="N140" t="s">
        <v>30</v>
      </c>
      <c r="O140" t="s">
        <v>31</v>
      </c>
      <c r="P140" s="4" t="str">
        <f t="shared" si="2"/>
        <v>OK</v>
      </c>
    </row>
    <row r="141" spans="1:16">
      <c r="A141" t="s">
        <v>308</v>
      </c>
      <c r="B141" t="s">
        <v>309</v>
      </c>
      <c r="C141" t="s">
        <v>281</v>
      </c>
      <c r="D141" t="s">
        <v>28</v>
      </c>
      <c r="E141" s="1">
        <v>428.52</v>
      </c>
      <c r="F141" s="1">
        <v>275.37</v>
      </c>
      <c r="G141" s="1">
        <v>153.15</v>
      </c>
      <c r="H141" s="2">
        <v>0.3574</v>
      </c>
      <c r="I141" t="s">
        <v>29</v>
      </c>
      <c r="J141" s="4">
        <v>92</v>
      </c>
      <c r="K141" s="4">
        <v>15</v>
      </c>
      <c r="L141" s="4">
        <v>192</v>
      </c>
      <c r="M141" s="4">
        <v>284</v>
      </c>
      <c r="N141" t="s">
        <v>30</v>
      </c>
      <c r="O141" t="s">
        <v>31</v>
      </c>
      <c r="P141" s="4" t="str">
        <f t="shared" si="2"/>
        <v>OK</v>
      </c>
    </row>
    <row r="142" spans="1:16">
      <c r="A142" t="s">
        <v>310</v>
      </c>
      <c r="B142" t="s">
        <v>311</v>
      </c>
      <c r="C142" t="s">
        <v>39</v>
      </c>
      <c r="D142" t="s">
        <v>28</v>
      </c>
      <c r="E142" s="1">
        <v>23.88</v>
      </c>
      <c r="F142" s="1">
        <v>11.12</v>
      </c>
      <c r="G142" s="1">
        <v>12.76</v>
      </c>
      <c r="H142" s="2">
        <v>0.5343</v>
      </c>
      <c r="I142" t="s">
        <v>29</v>
      </c>
      <c r="J142" s="4">
        <v>35</v>
      </c>
      <c r="K142" s="4">
        <v>15</v>
      </c>
      <c r="L142" s="4">
        <v>471</v>
      </c>
      <c r="M142" s="4">
        <v>506</v>
      </c>
      <c r="N142" t="s">
        <v>30</v>
      </c>
      <c r="O142" t="s">
        <v>31</v>
      </c>
      <c r="P142" s="4" t="str">
        <f t="shared" si="2"/>
        <v>OK</v>
      </c>
    </row>
    <row r="143" spans="1:16">
      <c r="A143" t="s">
        <v>312</v>
      </c>
      <c r="B143" t="s">
        <v>313</v>
      </c>
      <c r="C143" t="s">
        <v>281</v>
      </c>
      <c r="D143" t="s">
        <v>28</v>
      </c>
      <c r="E143" s="1">
        <v>15.73</v>
      </c>
      <c r="F143" s="1">
        <v>7.01</v>
      </c>
      <c r="G143" s="1">
        <v>8.7200000000000006</v>
      </c>
      <c r="H143" s="2">
        <v>0.5544</v>
      </c>
      <c r="I143" t="s">
        <v>29</v>
      </c>
      <c r="J143" s="4">
        <v>7</v>
      </c>
      <c r="K143" s="4">
        <v>15</v>
      </c>
      <c r="L143" s="4">
        <v>465</v>
      </c>
      <c r="M143" s="4">
        <v>472</v>
      </c>
      <c r="N143" t="s">
        <v>73</v>
      </c>
      <c r="O143" t="s">
        <v>31</v>
      </c>
      <c r="P143" s="4" t="str">
        <f t="shared" si="2"/>
        <v>OK</v>
      </c>
    </row>
    <row r="144" spans="1:16">
      <c r="A144" t="s">
        <v>314</v>
      </c>
      <c r="B144" t="s">
        <v>315</v>
      </c>
      <c r="C144" t="s">
        <v>281</v>
      </c>
      <c r="D144" t="s">
        <v>28</v>
      </c>
      <c r="E144" s="1">
        <v>104.81</v>
      </c>
      <c r="F144" s="1">
        <v>43.96</v>
      </c>
      <c r="G144" s="1">
        <v>60.85</v>
      </c>
      <c r="H144" s="2">
        <v>0.5806</v>
      </c>
      <c r="I144" t="s">
        <v>29</v>
      </c>
      <c r="J144" s="4">
        <v>41</v>
      </c>
      <c r="K144" s="4">
        <v>15</v>
      </c>
      <c r="L144" s="4">
        <v>419</v>
      </c>
      <c r="M144" s="4">
        <v>460</v>
      </c>
      <c r="N144" t="s">
        <v>30</v>
      </c>
      <c r="O144" t="s">
        <v>31</v>
      </c>
      <c r="P144" s="4" t="str">
        <f t="shared" si="2"/>
        <v>OK</v>
      </c>
    </row>
    <row r="145" spans="1:16">
      <c r="A145" t="s">
        <v>316</v>
      </c>
      <c r="B145" t="s">
        <v>317</v>
      </c>
      <c r="C145" t="s">
        <v>64</v>
      </c>
      <c r="D145" t="s">
        <v>28</v>
      </c>
      <c r="E145" s="1">
        <v>25.03</v>
      </c>
      <c r="F145" s="1">
        <v>14.33</v>
      </c>
      <c r="G145" s="1">
        <v>10.7</v>
      </c>
      <c r="H145" s="2">
        <v>0.42749999999999999</v>
      </c>
      <c r="I145" t="s">
        <v>29</v>
      </c>
      <c r="J145" s="4">
        <v>89</v>
      </c>
      <c r="K145" s="4">
        <v>15</v>
      </c>
      <c r="L145" s="4">
        <v>28</v>
      </c>
      <c r="M145" s="4">
        <v>117</v>
      </c>
      <c r="N145" t="s">
        <v>30</v>
      </c>
      <c r="O145" t="s">
        <v>31</v>
      </c>
      <c r="P145" s="4" t="str">
        <f t="shared" si="2"/>
        <v>OK</v>
      </c>
    </row>
    <row r="146" spans="1:16">
      <c r="A146" t="s">
        <v>318</v>
      </c>
      <c r="B146" t="s">
        <v>319</v>
      </c>
      <c r="C146" t="s">
        <v>281</v>
      </c>
      <c r="D146" t="s">
        <v>28</v>
      </c>
      <c r="E146" s="1">
        <v>31.67</v>
      </c>
      <c r="F146" s="1">
        <v>22.96</v>
      </c>
      <c r="G146" s="1">
        <v>8.7100000000000009</v>
      </c>
      <c r="H146" s="2">
        <v>0.27500000000000002</v>
      </c>
      <c r="I146" t="s">
        <v>29</v>
      </c>
      <c r="J146" s="4">
        <v>77</v>
      </c>
      <c r="K146" s="4">
        <v>15</v>
      </c>
      <c r="L146" s="4">
        <v>26</v>
      </c>
      <c r="M146" s="4">
        <v>103</v>
      </c>
      <c r="N146" t="s">
        <v>30</v>
      </c>
      <c r="O146" t="s">
        <v>31</v>
      </c>
      <c r="P146" s="4" t="str">
        <f t="shared" si="2"/>
        <v>OK</v>
      </c>
    </row>
    <row r="147" spans="1:16">
      <c r="A147" t="s">
        <v>320</v>
      </c>
      <c r="B147" t="s">
        <v>321</v>
      </c>
      <c r="C147" t="s">
        <v>281</v>
      </c>
      <c r="D147" t="s">
        <v>28</v>
      </c>
      <c r="F147" s="1">
        <v>15.82</v>
      </c>
      <c r="H147" s="1"/>
      <c r="I147" t="s">
        <v>18</v>
      </c>
      <c r="J147" s="4">
        <v>34</v>
      </c>
      <c r="K147" s="4">
        <v>15</v>
      </c>
      <c r="L147" s="4">
        <v>152</v>
      </c>
      <c r="M147" s="4">
        <v>186</v>
      </c>
      <c r="N147" t="s">
        <v>30</v>
      </c>
      <c r="O147" t="s">
        <v>31</v>
      </c>
      <c r="P147" s="4" t="str">
        <f t="shared" si="2"/>
        <v>OK</v>
      </c>
    </row>
    <row r="148" spans="1:16">
      <c r="A148" t="s">
        <v>322</v>
      </c>
      <c r="B148" t="s">
        <v>323</v>
      </c>
      <c r="C148" t="s">
        <v>144</v>
      </c>
      <c r="D148" t="s">
        <v>28</v>
      </c>
      <c r="E148" s="1">
        <v>16.38</v>
      </c>
      <c r="F148" s="1">
        <v>5.78</v>
      </c>
      <c r="G148" s="1">
        <v>10.6</v>
      </c>
      <c r="H148" s="2">
        <v>0.6470999999999999</v>
      </c>
      <c r="I148" t="s">
        <v>29</v>
      </c>
      <c r="J148" s="4">
        <v>100</v>
      </c>
      <c r="K148" s="4">
        <v>15</v>
      </c>
      <c r="L148" s="4">
        <v>293</v>
      </c>
      <c r="M148" s="4">
        <v>393</v>
      </c>
      <c r="N148" t="s">
        <v>30</v>
      </c>
      <c r="O148" t="s">
        <v>31</v>
      </c>
      <c r="P148" s="4" t="str">
        <f t="shared" si="2"/>
        <v>OK</v>
      </c>
    </row>
    <row r="149" spans="1:16">
      <c r="A149" t="s">
        <v>324</v>
      </c>
      <c r="B149" t="s">
        <v>325</v>
      </c>
      <c r="C149" t="s">
        <v>281</v>
      </c>
      <c r="D149" t="s">
        <v>28</v>
      </c>
      <c r="E149" s="1">
        <v>32.86</v>
      </c>
      <c r="F149" s="1">
        <v>21.18</v>
      </c>
      <c r="G149" s="1">
        <v>11.68</v>
      </c>
      <c r="H149" s="2">
        <v>0.35539999999999999</v>
      </c>
      <c r="I149" t="s">
        <v>29</v>
      </c>
      <c r="J149" s="4">
        <v>62</v>
      </c>
      <c r="K149" s="4">
        <v>15</v>
      </c>
      <c r="L149" s="4">
        <v>361</v>
      </c>
      <c r="M149" s="4">
        <v>423</v>
      </c>
      <c r="N149" t="s">
        <v>30</v>
      </c>
      <c r="O149" t="s">
        <v>31</v>
      </c>
      <c r="P149" s="4" t="str">
        <f t="shared" si="2"/>
        <v>OK</v>
      </c>
    </row>
    <row r="150" spans="1:16">
      <c r="A150" t="s">
        <v>326</v>
      </c>
      <c r="B150" t="s">
        <v>327</v>
      </c>
      <c r="C150" t="s">
        <v>281</v>
      </c>
      <c r="D150" t="s">
        <v>28</v>
      </c>
      <c r="E150" s="1">
        <v>69.42</v>
      </c>
      <c r="F150" s="1">
        <v>30.97</v>
      </c>
      <c r="G150" s="1">
        <v>38.450000000000003</v>
      </c>
      <c r="H150" s="2">
        <v>0.55390000000000006</v>
      </c>
      <c r="I150" t="s">
        <v>29</v>
      </c>
      <c r="J150" s="4">
        <v>28</v>
      </c>
      <c r="K150" s="4">
        <v>15</v>
      </c>
      <c r="L150" s="4">
        <v>331</v>
      </c>
      <c r="M150" s="4">
        <v>359</v>
      </c>
      <c r="N150" t="s">
        <v>30</v>
      </c>
      <c r="O150" t="s">
        <v>31</v>
      </c>
      <c r="P150" s="4" t="str">
        <f t="shared" si="2"/>
        <v>OK</v>
      </c>
    </row>
    <row r="151" spans="1:16">
      <c r="A151" t="s">
        <v>328</v>
      </c>
      <c r="B151" t="s">
        <v>329</v>
      </c>
      <c r="C151" t="s">
        <v>34</v>
      </c>
      <c r="D151" t="s">
        <v>28</v>
      </c>
      <c r="E151" s="1">
        <v>296.24</v>
      </c>
      <c r="F151" s="1">
        <v>148.25</v>
      </c>
      <c r="G151" s="1">
        <v>147.99</v>
      </c>
      <c r="H151" s="2">
        <v>0.49959999999999999</v>
      </c>
      <c r="I151" t="s">
        <v>29</v>
      </c>
      <c r="J151" s="4">
        <v>10</v>
      </c>
      <c r="K151" s="4">
        <v>15</v>
      </c>
      <c r="L151" s="4">
        <v>430</v>
      </c>
      <c r="M151" s="4">
        <v>440</v>
      </c>
      <c r="N151" t="s">
        <v>73</v>
      </c>
      <c r="O151" t="s">
        <v>31</v>
      </c>
      <c r="P151" s="4" t="str">
        <f t="shared" si="2"/>
        <v>OK</v>
      </c>
    </row>
    <row r="152" spans="1:16">
      <c r="A152" t="s">
        <v>330</v>
      </c>
      <c r="B152" t="s">
        <v>331</v>
      </c>
      <c r="C152" t="s">
        <v>281</v>
      </c>
      <c r="D152" t="s">
        <v>28</v>
      </c>
      <c r="E152" s="1">
        <v>15.77</v>
      </c>
      <c r="F152" s="1">
        <v>8</v>
      </c>
      <c r="G152" s="1">
        <v>7.77</v>
      </c>
      <c r="H152" s="2">
        <v>0.49270000000000003</v>
      </c>
      <c r="I152" t="s">
        <v>29</v>
      </c>
      <c r="J152" s="4">
        <v>0</v>
      </c>
      <c r="K152" s="4">
        <v>15</v>
      </c>
      <c r="L152" s="4">
        <v>292</v>
      </c>
      <c r="M152" s="4">
        <v>292</v>
      </c>
      <c r="N152" t="s">
        <v>19</v>
      </c>
      <c r="O152" t="s">
        <v>20</v>
      </c>
      <c r="P152" s="4" t="str">
        <f t="shared" si="2"/>
        <v>OK</v>
      </c>
    </row>
    <row r="153" spans="1:16">
      <c r="A153" t="s">
        <v>332</v>
      </c>
      <c r="B153" t="s">
        <v>333</v>
      </c>
      <c r="C153" t="s">
        <v>281</v>
      </c>
      <c r="D153" t="s">
        <v>28</v>
      </c>
      <c r="E153" s="1">
        <v>53.04</v>
      </c>
      <c r="F153" s="1">
        <v>24.12</v>
      </c>
      <c r="G153" s="1">
        <v>28.92</v>
      </c>
      <c r="H153" s="2">
        <v>0.54520000000000002</v>
      </c>
      <c r="I153" t="s">
        <v>29</v>
      </c>
      <c r="J153" s="4">
        <v>98</v>
      </c>
      <c r="K153" s="4">
        <v>15</v>
      </c>
      <c r="L153" s="4">
        <v>485</v>
      </c>
      <c r="M153" s="4">
        <v>583</v>
      </c>
      <c r="N153" t="s">
        <v>30</v>
      </c>
      <c r="O153" t="s">
        <v>31</v>
      </c>
      <c r="P153" s="4" t="str">
        <f t="shared" si="2"/>
        <v>OK</v>
      </c>
    </row>
    <row r="154" spans="1:16">
      <c r="A154" t="s">
        <v>334</v>
      </c>
      <c r="B154" t="s">
        <v>335</v>
      </c>
      <c r="C154" t="s">
        <v>78</v>
      </c>
      <c r="D154" t="s">
        <v>28</v>
      </c>
      <c r="E154" s="1">
        <v>57.41</v>
      </c>
      <c r="F154" s="1">
        <v>35.06</v>
      </c>
      <c r="G154" s="1">
        <v>22.35</v>
      </c>
      <c r="H154" s="2">
        <v>0.38929999999999998</v>
      </c>
      <c r="I154" t="s">
        <v>29</v>
      </c>
      <c r="J154" s="4">
        <v>56</v>
      </c>
      <c r="K154" s="4">
        <v>15</v>
      </c>
      <c r="L154" s="4">
        <v>0</v>
      </c>
      <c r="M154" s="4">
        <v>56</v>
      </c>
      <c r="N154" t="s">
        <v>30</v>
      </c>
      <c r="O154" t="s">
        <v>31</v>
      </c>
      <c r="P154" s="4" t="str">
        <f t="shared" si="2"/>
        <v>OK</v>
      </c>
    </row>
    <row r="155" spans="1:16">
      <c r="A155" t="s">
        <v>336</v>
      </c>
      <c r="B155" t="s">
        <v>337</v>
      </c>
      <c r="C155" t="s">
        <v>281</v>
      </c>
      <c r="D155" t="s">
        <v>28</v>
      </c>
      <c r="E155" s="1">
        <v>39.85</v>
      </c>
      <c r="F155" s="1">
        <v>22.27</v>
      </c>
      <c r="G155" s="1">
        <v>17.579999999999998</v>
      </c>
      <c r="H155" s="2">
        <v>0.44119999999999998</v>
      </c>
      <c r="I155" t="s">
        <v>29</v>
      </c>
      <c r="J155" s="4">
        <v>44</v>
      </c>
      <c r="K155" s="4">
        <v>15</v>
      </c>
      <c r="L155" s="4">
        <v>472</v>
      </c>
      <c r="M155" s="4">
        <v>516</v>
      </c>
      <c r="N155" t="s">
        <v>30</v>
      </c>
      <c r="O155" t="s">
        <v>31</v>
      </c>
      <c r="P155" s="4" t="str">
        <f t="shared" si="2"/>
        <v>OK</v>
      </c>
    </row>
    <row r="156" spans="1:16">
      <c r="A156" t="s">
        <v>338</v>
      </c>
      <c r="B156" t="s">
        <v>339</v>
      </c>
      <c r="C156" t="s">
        <v>281</v>
      </c>
      <c r="D156" t="s">
        <v>28</v>
      </c>
      <c r="E156" s="1">
        <v>65.97</v>
      </c>
      <c r="F156" s="1">
        <v>27.96</v>
      </c>
      <c r="G156" s="1">
        <v>38.01</v>
      </c>
      <c r="H156" s="2">
        <v>0.57619999999999993</v>
      </c>
      <c r="I156" t="s">
        <v>29</v>
      </c>
      <c r="J156" s="4">
        <v>48</v>
      </c>
      <c r="K156" s="4">
        <v>15</v>
      </c>
      <c r="L156" s="4">
        <v>488</v>
      </c>
      <c r="M156" s="4">
        <v>536</v>
      </c>
      <c r="N156" t="s">
        <v>30</v>
      </c>
      <c r="O156" t="s">
        <v>31</v>
      </c>
      <c r="P156" s="4" t="str">
        <f t="shared" si="2"/>
        <v>OK</v>
      </c>
    </row>
    <row r="157" spans="1:16">
      <c r="A157" t="s">
        <v>340</v>
      </c>
      <c r="B157" t="s">
        <v>341</v>
      </c>
      <c r="C157" t="s">
        <v>34</v>
      </c>
      <c r="D157" t="s">
        <v>28</v>
      </c>
      <c r="E157" s="1">
        <v>92.04</v>
      </c>
      <c r="F157" s="1">
        <v>29.63</v>
      </c>
      <c r="G157" s="1">
        <v>62.41</v>
      </c>
      <c r="H157" s="2">
        <v>0.67810000000000004</v>
      </c>
      <c r="I157" t="s">
        <v>29</v>
      </c>
      <c r="J157" s="4">
        <v>29</v>
      </c>
      <c r="K157" s="4">
        <v>15</v>
      </c>
      <c r="L157" s="4">
        <v>63</v>
      </c>
      <c r="M157" s="4">
        <v>92</v>
      </c>
      <c r="N157" t="s">
        <v>30</v>
      </c>
      <c r="O157" t="s">
        <v>31</v>
      </c>
      <c r="P157" s="4" t="str">
        <f t="shared" si="2"/>
        <v>OK</v>
      </c>
    </row>
    <row r="158" spans="1:16">
      <c r="A158" t="s">
        <v>342</v>
      </c>
      <c r="B158" t="s">
        <v>343</v>
      </c>
      <c r="C158" t="s">
        <v>27</v>
      </c>
      <c r="D158" t="s">
        <v>28</v>
      </c>
      <c r="E158" s="1">
        <v>34.81</v>
      </c>
      <c r="F158" s="1">
        <v>10.75</v>
      </c>
      <c r="G158" s="1">
        <v>24.06</v>
      </c>
      <c r="H158" s="2">
        <v>0.69120000000000004</v>
      </c>
      <c r="I158" t="s">
        <v>29</v>
      </c>
      <c r="J158" s="4">
        <v>45</v>
      </c>
      <c r="K158" s="4">
        <v>15</v>
      </c>
      <c r="L158" s="4">
        <v>338</v>
      </c>
      <c r="M158" s="4">
        <v>383</v>
      </c>
      <c r="N158" t="s">
        <v>30</v>
      </c>
      <c r="O158" t="s">
        <v>31</v>
      </c>
      <c r="P158" s="4" t="str">
        <f t="shared" si="2"/>
        <v>OK</v>
      </c>
    </row>
    <row r="159" spans="1:16">
      <c r="A159" t="s">
        <v>344</v>
      </c>
      <c r="B159" t="s">
        <v>345</v>
      </c>
      <c r="C159" t="s">
        <v>27</v>
      </c>
      <c r="D159" t="s">
        <v>28</v>
      </c>
      <c r="E159" s="1">
        <v>88.72</v>
      </c>
      <c r="F159" s="1">
        <v>46.44</v>
      </c>
      <c r="G159" s="1">
        <v>42.28</v>
      </c>
      <c r="H159" s="2">
        <v>0.47659999999999997</v>
      </c>
      <c r="I159" t="s">
        <v>29</v>
      </c>
      <c r="J159" s="4">
        <v>48</v>
      </c>
      <c r="K159" s="4">
        <v>15</v>
      </c>
      <c r="L159" s="4">
        <v>67</v>
      </c>
      <c r="M159" s="4">
        <v>115</v>
      </c>
      <c r="N159" t="s">
        <v>30</v>
      </c>
      <c r="O159" t="s">
        <v>31</v>
      </c>
      <c r="P159" s="4" t="str">
        <f t="shared" si="2"/>
        <v>OK</v>
      </c>
    </row>
    <row r="160" spans="1:16">
      <c r="A160" t="s">
        <v>346</v>
      </c>
      <c r="B160" t="s">
        <v>347</v>
      </c>
      <c r="C160" t="s">
        <v>34</v>
      </c>
      <c r="D160" t="s">
        <v>28</v>
      </c>
      <c r="E160" s="1">
        <v>349</v>
      </c>
      <c r="F160" s="1">
        <v>179.66</v>
      </c>
      <c r="G160" s="1">
        <v>169.34</v>
      </c>
      <c r="H160" s="2">
        <v>0.48520000000000002</v>
      </c>
      <c r="I160" t="s">
        <v>29</v>
      </c>
      <c r="J160" s="4">
        <v>33</v>
      </c>
      <c r="K160" s="4">
        <v>15</v>
      </c>
      <c r="L160" s="4">
        <v>21</v>
      </c>
      <c r="M160" s="4">
        <v>54</v>
      </c>
      <c r="N160" t="s">
        <v>30</v>
      </c>
      <c r="O160" t="s">
        <v>31</v>
      </c>
      <c r="P160" s="4" t="str">
        <f t="shared" si="2"/>
        <v>OK</v>
      </c>
    </row>
    <row r="161" spans="1:16">
      <c r="A161" t="s">
        <v>348</v>
      </c>
      <c r="B161" t="s">
        <v>349</v>
      </c>
      <c r="C161" t="s">
        <v>27</v>
      </c>
      <c r="D161" t="s">
        <v>28</v>
      </c>
      <c r="E161" s="1">
        <v>11.77</v>
      </c>
      <c r="F161" s="1">
        <v>6.8</v>
      </c>
      <c r="G161" s="1">
        <v>4.97</v>
      </c>
      <c r="H161" s="2">
        <v>0.42229999999999995</v>
      </c>
      <c r="I161" t="s">
        <v>29</v>
      </c>
      <c r="J161" s="4">
        <v>26</v>
      </c>
      <c r="K161" s="4">
        <v>15</v>
      </c>
      <c r="L161" s="4">
        <v>277</v>
      </c>
      <c r="M161" s="4">
        <v>303</v>
      </c>
      <c r="N161" t="s">
        <v>30</v>
      </c>
      <c r="O161" t="s">
        <v>31</v>
      </c>
      <c r="P161" s="4" t="str">
        <f t="shared" si="2"/>
        <v>OK</v>
      </c>
    </row>
    <row r="162" spans="1:16">
      <c r="A162" t="s">
        <v>350</v>
      </c>
      <c r="B162" t="s">
        <v>351</v>
      </c>
      <c r="C162" t="s">
        <v>27</v>
      </c>
      <c r="D162" t="s">
        <v>28</v>
      </c>
      <c r="E162" s="1">
        <v>23.92</v>
      </c>
      <c r="F162" s="1">
        <v>8.6999999999999993</v>
      </c>
      <c r="G162" s="1">
        <v>15.22</v>
      </c>
      <c r="H162" s="2">
        <v>0.63629999999999998</v>
      </c>
      <c r="I162" t="s">
        <v>29</v>
      </c>
      <c r="J162" s="4">
        <v>36</v>
      </c>
      <c r="K162" s="4">
        <v>15</v>
      </c>
      <c r="L162" s="4">
        <v>445</v>
      </c>
      <c r="M162" s="4">
        <v>481</v>
      </c>
      <c r="N162" t="s">
        <v>30</v>
      </c>
      <c r="O162" t="s">
        <v>31</v>
      </c>
      <c r="P162" s="4" t="str">
        <f t="shared" si="2"/>
        <v>OK</v>
      </c>
    </row>
    <row r="163" spans="1:16">
      <c r="A163" t="s">
        <v>352</v>
      </c>
      <c r="B163" t="s">
        <v>353</v>
      </c>
      <c r="C163" t="s">
        <v>39</v>
      </c>
      <c r="D163" t="s">
        <v>28</v>
      </c>
      <c r="E163" s="1">
        <v>66.150000000000006</v>
      </c>
      <c r="F163" s="1">
        <v>30.85</v>
      </c>
      <c r="G163" s="1">
        <v>35.299999999999997</v>
      </c>
      <c r="H163" s="2">
        <v>0.53359999999999996</v>
      </c>
      <c r="I163" t="s">
        <v>29</v>
      </c>
      <c r="J163" s="4">
        <v>98</v>
      </c>
      <c r="K163" s="4">
        <v>15</v>
      </c>
      <c r="L163" s="4">
        <v>482</v>
      </c>
      <c r="M163" s="4">
        <v>580</v>
      </c>
      <c r="N163" t="s">
        <v>30</v>
      </c>
      <c r="O163" t="s">
        <v>31</v>
      </c>
      <c r="P163" s="4" t="str">
        <f t="shared" si="2"/>
        <v>OK</v>
      </c>
    </row>
    <row r="164" spans="1:16">
      <c r="A164" t="s">
        <v>354</v>
      </c>
      <c r="B164" t="s">
        <v>355</v>
      </c>
      <c r="C164" t="s">
        <v>27</v>
      </c>
      <c r="D164" t="s">
        <v>28</v>
      </c>
      <c r="E164" s="1">
        <v>35.159999999999997</v>
      </c>
      <c r="F164" s="1">
        <v>14.04</v>
      </c>
      <c r="G164" s="1">
        <v>21.12</v>
      </c>
      <c r="H164" s="2">
        <v>0.60070000000000001</v>
      </c>
      <c r="I164" t="s">
        <v>29</v>
      </c>
      <c r="J164" s="4">
        <v>20</v>
      </c>
      <c r="K164" s="4">
        <v>15</v>
      </c>
      <c r="L164" s="4">
        <v>442</v>
      </c>
      <c r="M164" s="4">
        <v>462</v>
      </c>
      <c r="N164" t="s">
        <v>30</v>
      </c>
      <c r="O164" t="s">
        <v>31</v>
      </c>
      <c r="P164" s="4" t="str">
        <f t="shared" si="2"/>
        <v>OK</v>
      </c>
    </row>
    <row r="165" spans="1:16">
      <c r="A165" t="s">
        <v>356</v>
      </c>
      <c r="B165" t="s">
        <v>357</v>
      </c>
      <c r="C165" t="s">
        <v>27</v>
      </c>
      <c r="D165" t="s">
        <v>28</v>
      </c>
      <c r="E165" s="1">
        <v>15.67</v>
      </c>
      <c r="F165" s="1">
        <v>5.22</v>
      </c>
      <c r="G165" s="1">
        <v>10.45</v>
      </c>
      <c r="H165" s="2">
        <v>0.66689999999999994</v>
      </c>
      <c r="I165" t="s">
        <v>29</v>
      </c>
      <c r="J165" s="4">
        <v>7</v>
      </c>
      <c r="K165" s="4">
        <v>15</v>
      </c>
      <c r="L165" s="4">
        <v>258</v>
      </c>
      <c r="M165" s="4">
        <v>265</v>
      </c>
      <c r="N165" t="s">
        <v>73</v>
      </c>
      <c r="O165" t="s">
        <v>31</v>
      </c>
      <c r="P165" s="4" t="str">
        <f t="shared" si="2"/>
        <v>OK</v>
      </c>
    </row>
    <row r="166" spans="1:16">
      <c r="A166" t="s">
        <v>358</v>
      </c>
      <c r="B166" t="s">
        <v>359</v>
      </c>
      <c r="C166" t="s">
        <v>39</v>
      </c>
      <c r="D166" t="s">
        <v>28</v>
      </c>
      <c r="E166" s="1">
        <v>54.17</v>
      </c>
      <c r="F166" s="1">
        <v>38.18</v>
      </c>
      <c r="G166" s="1">
        <v>15.99</v>
      </c>
      <c r="H166" s="2">
        <v>0.29520000000000002</v>
      </c>
      <c r="I166" t="s">
        <v>29</v>
      </c>
      <c r="J166" s="4">
        <v>31</v>
      </c>
      <c r="K166" s="4">
        <v>15</v>
      </c>
      <c r="L166" s="4">
        <v>454</v>
      </c>
      <c r="M166" s="4">
        <v>485</v>
      </c>
      <c r="N166" t="s">
        <v>30</v>
      </c>
      <c r="O166" t="s">
        <v>31</v>
      </c>
      <c r="P166" s="4" t="str">
        <f t="shared" si="2"/>
        <v>OK</v>
      </c>
    </row>
    <row r="167" spans="1:16">
      <c r="A167" t="s">
        <v>360</v>
      </c>
      <c r="B167" t="s">
        <v>361</v>
      </c>
      <c r="C167" t="s">
        <v>27</v>
      </c>
      <c r="D167" t="s">
        <v>28</v>
      </c>
      <c r="E167" s="1">
        <v>16.7</v>
      </c>
      <c r="F167" s="1">
        <v>9.5299999999999994</v>
      </c>
      <c r="G167" s="1">
        <v>7.17</v>
      </c>
      <c r="H167" s="2">
        <v>0.42930000000000001</v>
      </c>
      <c r="I167" t="s">
        <v>29</v>
      </c>
      <c r="J167" s="4">
        <v>51</v>
      </c>
      <c r="K167" s="4">
        <v>15</v>
      </c>
      <c r="L167" s="4">
        <v>484</v>
      </c>
      <c r="M167" s="4">
        <v>535</v>
      </c>
      <c r="N167" t="s">
        <v>30</v>
      </c>
      <c r="O167" t="s">
        <v>31</v>
      </c>
      <c r="P167" s="4" t="str">
        <f t="shared" si="2"/>
        <v>OK</v>
      </c>
    </row>
    <row r="168" spans="1:16">
      <c r="A168" t="s">
        <v>362</v>
      </c>
      <c r="B168" t="s">
        <v>363</v>
      </c>
      <c r="C168" t="s">
        <v>27</v>
      </c>
      <c r="D168" t="s">
        <v>28</v>
      </c>
      <c r="E168" s="1">
        <v>20.149999999999999</v>
      </c>
      <c r="F168" s="1">
        <v>8.66</v>
      </c>
      <c r="G168" s="1">
        <v>11.49</v>
      </c>
      <c r="H168" s="2">
        <v>0.57020000000000004</v>
      </c>
      <c r="I168" t="s">
        <v>29</v>
      </c>
      <c r="J168" s="4">
        <v>21</v>
      </c>
      <c r="K168" s="4">
        <v>15</v>
      </c>
      <c r="L168" s="4">
        <v>297</v>
      </c>
      <c r="M168" s="4">
        <v>318</v>
      </c>
      <c r="N168" t="s">
        <v>30</v>
      </c>
      <c r="O168" t="s">
        <v>31</v>
      </c>
      <c r="P168" s="4" t="str">
        <f t="shared" si="2"/>
        <v>OK</v>
      </c>
    </row>
    <row r="169" spans="1:16">
      <c r="A169" t="s">
        <v>364</v>
      </c>
      <c r="B169" t="s">
        <v>365</v>
      </c>
      <c r="C169" t="s">
        <v>27</v>
      </c>
      <c r="D169" t="s">
        <v>28</v>
      </c>
      <c r="E169" s="1">
        <v>67.260000000000005</v>
      </c>
      <c r="F169" s="1">
        <v>47.45</v>
      </c>
      <c r="G169" s="1">
        <v>19.809999999999999</v>
      </c>
      <c r="H169" s="2">
        <v>0.29449999999999998</v>
      </c>
      <c r="I169" t="s">
        <v>29</v>
      </c>
      <c r="J169" s="4">
        <v>25</v>
      </c>
      <c r="K169" s="4">
        <v>15</v>
      </c>
      <c r="L169" s="4">
        <v>7</v>
      </c>
      <c r="M169" s="4">
        <v>32</v>
      </c>
      <c r="N169" t="s">
        <v>30</v>
      </c>
      <c r="O169" t="s">
        <v>31</v>
      </c>
      <c r="P169" s="4" t="str">
        <f t="shared" si="2"/>
        <v>OK</v>
      </c>
    </row>
    <row r="170" spans="1:16">
      <c r="A170" t="s">
        <v>366</v>
      </c>
      <c r="B170" t="s">
        <v>367</v>
      </c>
      <c r="C170" t="s">
        <v>27</v>
      </c>
      <c r="D170" t="s">
        <v>28</v>
      </c>
      <c r="E170" s="1">
        <v>62.46</v>
      </c>
      <c r="F170" s="1">
        <v>27.75</v>
      </c>
      <c r="G170" s="1">
        <v>34.71</v>
      </c>
      <c r="H170" s="2">
        <v>0.55569999999999997</v>
      </c>
      <c r="I170" t="s">
        <v>29</v>
      </c>
      <c r="J170" s="4">
        <v>74</v>
      </c>
      <c r="K170" s="4">
        <v>15</v>
      </c>
      <c r="L170" s="4">
        <v>197</v>
      </c>
      <c r="M170" s="4">
        <v>271</v>
      </c>
      <c r="N170" t="s">
        <v>30</v>
      </c>
      <c r="O170" t="s">
        <v>31</v>
      </c>
      <c r="P170" s="4" t="str">
        <f t="shared" si="2"/>
        <v>OK</v>
      </c>
    </row>
    <row r="171" spans="1:16">
      <c r="A171" t="s">
        <v>368</v>
      </c>
      <c r="B171" t="s">
        <v>369</v>
      </c>
      <c r="C171" t="s">
        <v>27</v>
      </c>
      <c r="D171" t="s">
        <v>28</v>
      </c>
      <c r="E171" s="1">
        <v>21.45</v>
      </c>
      <c r="F171" s="1">
        <v>23.55</v>
      </c>
      <c r="G171" s="1">
        <v>-2.1</v>
      </c>
      <c r="H171" s="2">
        <v>-9.7899999999999987E-2</v>
      </c>
      <c r="I171" t="s">
        <v>127</v>
      </c>
      <c r="J171" s="4">
        <v>59</v>
      </c>
      <c r="K171" s="4">
        <v>15</v>
      </c>
      <c r="L171" s="4">
        <v>454</v>
      </c>
      <c r="M171" s="4">
        <v>513</v>
      </c>
      <c r="N171" t="s">
        <v>30</v>
      </c>
      <c r="O171" t="s">
        <v>31</v>
      </c>
      <c r="P171" s="4" t="str">
        <f t="shared" si="2"/>
        <v>OK</v>
      </c>
    </row>
    <row r="172" spans="1:16">
      <c r="A172" t="s">
        <v>370</v>
      </c>
      <c r="B172" t="s">
        <v>371</v>
      </c>
      <c r="C172" t="s">
        <v>122</v>
      </c>
      <c r="D172" t="s">
        <v>28</v>
      </c>
      <c r="E172" s="1">
        <v>19.940000000000001</v>
      </c>
      <c r="F172" s="1">
        <v>6.54</v>
      </c>
      <c r="G172" s="1">
        <v>13.4</v>
      </c>
      <c r="H172" s="2">
        <v>0.67200000000000004</v>
      </c>
      <c r="I172" t="s">
        <v>29</v>
      </c>
      <c r="J172" s="4">
        <v>9</v>
      </c>
      <c r="K172" s="4">
        <v>15</v>
      </c>
      <c r="L172" s="4">
        <v>129</v>
      </c>
      <c r="M172" s="4">
        <v>138</v>
      </c>
      <c r="N172" t="s">
        <v>73</v>
      </c>
      <c r="O172" t="s">
        <v>31</v>
      </c>
      <c r="P172" s="4" t="str">
        <f t="shared" si="2"/>
        <v>OK</v>
      </c>
    </row>
    <row r="173" spans="1:16">
      <c r="A173" t="s">
        <v>372</v>
      </c>
      <c r="B173" t="s">
        <v>373</v>
      </c>
      <c r="C173" t="s">
        <v>27</v>
      </c>
      <c r="D173" t="s">
        <v>28</v>
      </c>
      <c r="E173" s="1">
        <v>11.04</v>
      </c>
      <c r="F173" s="1">
        <v>5.94</v>
      </c>
      <c r="G173" s="1">
        <v>5.0999999999999996</v>
      </c>
      <c r="H173" s="2">
        <v>0.46200000000000002</v>
      </c>
      <c r="I173" t="s">
        <v>29</v>
      </c>
      <c r="J173" s="4">
        <v>54</v>
      </c>
      <c r="K173" s="4">
        <v>15</v>
      </c>
      <c r="L173" s="4">
        <v>213</v>
      </c>
      <c r="M173" s="4">
        <v>267</v>
      </c>
      <c r="N173" t="s">
        <v>30</v>
      </c>
      <c r="O173" t="s">
        <v>31</v>
      </c>
      <c r="P173" s="4" t="str">
        <f t="shared" si="2"/>
        <v>OK</v>
      </c>
    </row>
    <row r="174" spans="1:16">
      <c r="A174" t="s">
        <v>374</v>
      </c>
      <c r="B174" t="s">
        <v>375</v>
      </c>
      <c r="C174" t="s">
        <v>27</v>
      </c>
      <c r="D174" t="s">
        <v>28</v>
      </c>
      <c r="E174" s="1">
        <v>25.62</v>
      </c>
      <c r="F174" s="1">
        <v>11.81</v>
      </c>
      <c r="G174" s="1">
        <v>13.81</v>
      </c>
      <c r="H174" s="2">
        <v>0.53900000000000003</v>
      </c>
      <c r="I174" t="s">
        <v>29</v>
      </c>
      <c r="J174" s="4">
        <v>54</v>
      </c>
      <c r="K174" s="4">
        <v>15</v>
      </c>
      <c r="L174" s="4">
        <v>22</v>
      </c>
      <c r="M174" s="4">
        <v>76</v>
      </c>
      <c r="N174" t="s">
        <v>30</v>
      </c>
      <c r="O174" t="s">
        <v>31</v>
      </c>
      <c r="P174" s="4" t="str">
        <f t="shared" si="2"/>
        <v>OK</v>
      </c>
    </row>
    <row r="175" spans="1:16">
      <c r="A175" t="s">
        <v>376</v>
      </c>
      <c r="B175" t="s">
        <v>377</v>
      </c>
      <c r="C175" t="s">
        <v>39</v>
      </c>
      <c r="D175" t="s">
        <v>28</v>
      </c>
      <c r="E175" s="1">
        <v>42.8</v>
      </c>
      <c r="F175" s="1">
        <v>24.53</v>
      </c>
      <c r="G175" s="1">
        <v>18.27</v>
      </c>
      <c r="H175" s="2">
        <v>0.4269</v>
      </c>
      <c r="I175" t="s">
        <v>29</v>
      </c>
      <c r="J175" s="4">
        <v>47</v>
      </c>
      <c r="K175" s="4">
        <v>15</v>
      </c>
      <c r="L175" s="4">
        <v>254</v>
      </c>
      <c r="M175" s="4">
        <v>301</v>
      </c>
      <c r="N175" t="s">
        <v>30</v>
      </c>
      <c r="O175" t="s">
        <v>31</v>
      </c>
      <c r="P175" s="4" t="str">
        <f t="shared" si="2"/>
        <v>OK</v>
      </c>
    </row>
    <row r="176" spans="1:16">
      <c r="A176" t="s">
        <v>378</v>
      </c>
      <c r="B176" t="s">
        <v>379</v>
      </c>
      <c r="C176" t="s">
        <v>27</v>
      </c>
      <c r="D176" t="s">
        <v>28</v>
      </c>
      <c r="E176" s="1">
        <v>14.53</v>
      </c>
      <c r="F176" s="1">
        <v>16</v>
      </c>
      <c r="G176" s="1">
        <v>-1.47</v>
      </c>
      <c r="H176" s="2">
        <v>-0.1012</v>
      </c>
      <c r="I176" t="s">
        <v>127</v>
      </c>
      <c r="J176" s="4">
        <v>71</v>
      </c>
      <c r="K176" s="4">
        <v>15</v>
      </c>
      <c r="L176" s="4">
        <v>101</v>
      </c>
      <c r="M176" s="4">
        <v>172</v>
      </c>
      <c r="N176" t="s">
        <v>30</v>
      </c>
      <c r="O176" t="s">
        <v>31</v>
      </c>
      <c r="P176" s="4" t="str">
        <f t="shared" si="2"/>
        <v>OK</v>
      </c>
    </row>
    <row r="177" spans="1:16">
      <c r="A177" t="s">
        <v>380</v>
      </c>
      <c r="B177" t="s">
        <v>381</v>
      </c>
      <c r="C177" t="s">
        <v>27</v>
      </c>
      <c r="D177" t="s">
        <v>28</v>
      </c>
      <c r="E177" s="1">
        <v>16.37</v>
      </c>
      <c r="F177" s="1">
        <v>5.34</v>
      </c>
      <c r="G177" s="1">
        <v>11.03</v>
      </c>
      <c r="H177" s="2">
        <v>0.67379999999999995</v>
      </c>
      <c r="I177" t="s">
        <v>29</v>
      </c>
      <c r="J177" s="4">
        <v>40</v>
      </c>
      <c r="K177" s="4">
        <v>15</v>
      </c>
      <c r="L177" s="4">
        <v>268</v>
      </c>
      <c r="M177" s="4">
        <v>308</v>
      </c>
      <c r="N177" t="s">
        <v>30</v>
      </c>
      <c r="O177" t="s">
        <v>31</v>
      </c>
      <c r="P177" s="4" t="str">
        <f t="shared" si="2"/>
        <v>OK</v>
      </c>
    </row>
    <row r="178" spans="1:16">
      <c r="A178" t="s">
        <v>382</v>
      </c>
      <c r="B178" t="s">
        <v>383</v>
      </c>
      <c r="C178" t="s">
        <v>122</v>
      </c>
      <c r="D178" t="s">
        <v>28</v>
      </c>
      <c r="E178" s="1">
        <v>18.98</v>
      </c>
      <c r="F178" s="1">
        <v>7.11</v>
      </c>
      <c r="G178" s="1">
        <v>11.87</v>
      </c>
      <c r="H178" s="2">
        <v>0.62539999999999996</v>
      </c>
      <c r="I178" t="s">
        <v>29</v>
      </c>
      <c r="J178" s="4">
        <v>15</v>
      </c>
      <c r="K178" s="4">
        <v>15</v>
      </c>
      <c r="L178" s="4">
        <v>377</v>
      </c>
      <c r="M178" s="4">
        <v>392</v>
      </c>
      <c r="N178" t="s">
        <v>73</v>
      </c>
      <c r="O178" t="s">
        <v>31</v>
      </c>
      <c r="P178" s="4" t="str">
        <f t="shared" si="2"/>
        <v>OK</v>
      </c>
    </row>
    <row r="179" spans="1:16">
      <c r="A179" t="s">
        <v>384</v>
      </c>
      <c r="B179" t="s">
        <v>385</v>
      </c>
      <c r="C179" t="s">
        <v>27</v>
      </c>
      <c r="D179" t="s">
        <v>28</v>
      </c>
      <c r="E179" s="1">
        <v>16.55</v>
      </c>
      <c r="F179" s="1">
        <v>11.87</v>
      </c>
      <c r="G179" s="1">
        <v>4.68</v>
      </c>
      <c r="H179" s="2">
        <v>0.2828</v>
      </c>
      <c r="I179" t="s">
        <v>29</v>
      </c>
      <c r="J179" s="4">
        <v>38</v>
      </c>
      <c r="K179" s="4">
        <v>15</v>
      </c>
      <c r="L179" s="4">
        <v>429</v>
      </c>
      <c r="M179" s="4">
        <v>467</v>
      </c>
      <c r="N179" t="s">
        <v>30</v>
      </c>
      <c r="O179" t="s">
        <v>31</v>
      </c>
      <c r="P179" s="4" t="str">
        <f t="shared" si="2"/>
        <v>OK</v>
      </c>
    </row>
    <row r="180" spans="1:16">
      <c r="A180" t="s">
        <v>386</v>
      </c>
      <c r="B180" t="s">
        <v>387</v>
      </c>
      <c r="C180" t="s">
        <v>27</v>
      </c>
      <c r="D180" t="s">
        <v>28</v>
      </c>
      <c r="E180" s="1">
        <v>13.1</v>
      </c>
      <c r="F180" s="1">
        <v>5.94</v>
      </c>
      <c r="G180" s="1">
        <v>7.16</v>
      </c>
      <c r="H180" s="2">
        <v>0.54659999999999997</v>
      </c>
      <c r="I180" t="s">
        <v>29</v>
      </c>
      <c r="J180" s="4">
        <v>76</v>
      </c>
      <c r="K180" s="4">
        <v>15</v>
      </c>
      <c r="L180" s="4">
        <v>255</v>
      </c>
      <c r="M180" s="4">
        <v>331</v>
      </c>
      <c r="N180" t="s">
        <v>30</v>
      </c>
      <c r="O180" t="s">
        <v>31</v>
      </c>
      <c r="P180" s="4" t="str">
        <f t="shared" si="2"/>
        <v>OK</v>
      </c>
    </row>
    <row r="181" spans="1:16">
      <c r="A181" t="s">
        <v>388</v>
      </c>
      <c r="B181" t="s">
        <v>389</v>
      </c>
      <c r="C181" t="s">
        <v>64</v>
      </c>
      <c r="D181" t="s">
        <v>28</v>
      </c>
      <c r="E181" s="1">
        <v>32.19</v>
      </c>
      <c r="F181" s="1">
        <v>22.2</v>
      </c>
      <c r="G181" s="1">
        <v>9.99</v>
      </c>
      <c r="H181" s="2">
        <v>0.31030000000000002</v>
      </c>
      <c r="I181" t="s">
        <v>29</v>
      </c>
      <c r="J181" s="4">
        <v>63</v>
      </c>
      <c r="K181" s="4">
        <v>15</v>
      </c>
      <c r="L181" s="4">
        <v>239</v>
      </c>
      <c r="M181" s="4">
        <v>302</v>
      </c>
      <c r="N181" t="s">
        <v>30</v>
      </c>
      <c r="O181" t="s">
        <v>31</v>
      </c>
      <c r="P181" s="4" t="str">
        <f t="shared" si="2"/>
        <v>OK</v>
      </c>
    </row>
    <row r="182" spans="1:16">
      <c r="A182" t="s">
        <v>390</v>
      </c>
      <c r="B182" t="s">
        <v>391</v>
      </c>
      <c r="C182" t="s">
        <v>39</v>
      </c>
      <c r="D182" t="s">
        <v>28</v>
      </c>
      <c r="E182" s="1">
        <v>21.44</v>
      </c>
      <c r="F182" s="1">
        <v>8.59</v>
      </c>
      <c r="G182" s="1">
        <v>12.85</v>
      </c>
      <c r="H182" s="2">
        <v>0.59929999999999994</v>
      </c>
      <c r="I182" t="s">
        <v>29</v>
      </c>
      <c r="J182" s="4">
        <v>92</v>
      </c>
      <c r="K182" s="4">
        <v>15</v>
      </c>
      <c r="L182" s="4">
        <v>270</v>
      </c>
      <c r="M182" s="4">
        <v>362</v>
      </c>
      <c r="N182" t="s">
        <v>30</v>
      </c>
      <c r="O182" t="s">
        <v>31</v>
      </c>
      <c r="P182" s="4" t="str">
        <f t="shared" si="2"/>
        <v>OK</v>
      </c>
    </row>
    <row r="183" spans="1:16">
      <c r="A183" t="s">
        <v>392</v>
      </c>
      <c r="B183" t="s">
        <v>393</v>
      </c>
      <c r="C183" t="s">
        <v>39</v>
      </c>
      <c r="D183" t="s">
        <v>28</v>
      </c>
      <c r="E183" s="1">
        <v>40.11</v>
      </c>
      <c r="F183" s="1">
        <v>13.7</v>
      </c>
      <c r="G183" s="1">
        <v>26.41</v>
      </c>
      <c r="H183" s="2">
        <v>0.65839999999999999</v>
      </c>
      <c r="I183" t="s">
        <v>29</v>
      </c>
      <c r="J183" s="4">
        <v>99</v>
      </c>
      <c r="K183" s="4">
        <v>15</v>
      </c>
      <c r="L183" s="4">
        <v>226</v>
      </c>
      <c r="M183" s="4">
        <v>325</v>
      </c>
      <c r="N183" t="s">
        <v>30</v>
      </c>
      <c r="O183" t="s">
        <v>31</v>
      </c>
      <c r="P183" s="4" t="str">
        <f t="shared" si="2"/>
        <v>OK</v>
      </c>
    </row>
    <row r="184" spans="1:16">
      <c r="A184" t="s">
        <v>394</v>
      </c>
      <c r="B184" t="s">
        <v>395</v>
      </c>
      <c r="C184" t="s">
        <v>122</v>
      </c>
      <c r="D184" t="s">
        <v>28</v>
      </c>
      <c r="E184" s="1">
        <v>16.93</v>
      </c>
      <c r="F184" s="1">
        <v>9.75</v>
      </c>
      <c r="G184" s="1">
        <v>7.18</v>
      </c>
      <c r="H184" s="2">
        <v>0.42409999999999998</v>
      </c>
      <c r="I184" t="s">
        <v>29</v>
      </c>
      <c r="J184" s="4">
        <v>74</v>
      </c>
      <c r="K184" s="4">
        <v>15</v>
      </c>
      <c r="L184" s="4">
        <v>285</v>
      </c>
      <c r="M184" s="4">
        <v>359</v>
      </c>
      <c r="N184" t="s">
        <v>30</v>
      </c>
      <c r="O184" t="s">
        <v>31</v>
      </c>
      <c r="P184" s="4" t="str">
        <f t="shared" si="2"/>
        <v>OK</v>
      </c>
    </row>
    <row r="185" spans="1:16">
      <c r="A185" t="s">
        <v>396</v>
      </c>
      <c r="B185" t="s">
        <v>397</v>
      </c>
      <c r="C185" t="s">
        <v>39</v>
      </c>
      <c r="D185" t="s">
        <v>28</v>
      </c>
      <c r="E185" s="1">
        <v>25.21</v>
      </c>
      <c r="F185" s="1">
        <v>10.73</v>
      </c>
      <c r="G185" s="1">
        <v>14.48</v>
      </c>
      <c r="H185" s="2">
        <v>0.57440000000000002</v>
      </c>
      <c r="I185" t="s">
        <v>29</v>
      </c>
      <c r="J185" s="4">
        <v>82</v>
      </c>
      <c r="K185" s="4">
        <v>15</v>
      </c>
      <c r="L185" s="4">
        <v>99</v>
      </c>
      <c r="M185" s="4">
        <v>181</v>
      </c>
      <c r="N185" t="s">
        <v>30</v>
      </c>
      <c r="O185" t="s">
        <v>31</v>
      </c>
      <c r="P185" s="4" t="str">
        <f t="shared" si="2"/>
        <v>OK</v>
      </c>
    </row>
    <row r="186" spans="1:16">
      <c r="A186" t="s">
        <v>398</v>
      </c>
      <c r="B186" t="s">
        <v>399</v>
      </c>
      <c r="C186" t="s">
        <v>39</v>
      </c>
      <c r="D186" t="s">
        <v>28</v>
      </c>
      <c r="E186" s="1">
        <v>38.19</v>
      </c>
      <c r="F186" s="1">
        <v>20.41</v>
      </c>
      <c r="G186" s="1">
        <v>17.78</v>
      </c>
      <c r="H186" s="2">
        <v>0.46560000000000001</v>
      </c>
      <c r="I186" t="s">
        <v>29</v>
      </c>
      <c r="J186" s="4">
        <v>7</v>
      </c>
      <c r="K186" s="4">
        <v>15</v>
      </c>
      <c r="L186" s="4">
        <v>472</v>
      </c>
      <c r="M186" s="4">
        <v>479</v>
      </c>
      <c r="N186" t="s">
        <v>73</v>
      </c>
      <c r="O186" t="s">
        <v>31</v>
      </c>
      <c r="P186" s="4" t="str">
        <f t="shared" si="2"/>
        <v>OK</v>
      </c>
    </row>
    <row r="187" spans="1:16">
      <c r="A187" t="s">
        <v>400</v>
      </c>
      <c r="B187" t="s">
        <v>401</v>
      </c>
      <c r="C187" t="s">
        <v>122</v>
      </c>
      <c r="D187" t="s">
        <v>28</v>
      </c>
      <c r="E187" s="1">
        <v>77.540000000000006</v>
      </c>
      <c r="F187" s="1">
        <v>25.63</v>
      </c>
      <c r="G187" s="1">
        <v>51.91</v>
      </c>
      <c r="H187" s="2">
        <v>0.66949999999999998</v>
      </c>
      <c r="I187" t="s">
        <v>29</v>
      </c>
      <c r="J187" s="4">
        <v>79</v>
      </c>
      <c r="K187" s="4">
        <v>15</v>
      </c>
      <c r="L187" s="4">
        <v>480</v>
      </c>
      <c r="M187" s="4">
        <v>559</v>
      </c>
      <c r="N187" t="s">
        <v>30</v>
      </c>
      <c r="O187" t="s">
        <v>31</v>
      </c>
      <c r="P187" s="4" t="str">
        <f t="shared" si="2"/>
        <v>OK</v>
      </c>
    </row>
    <row r="188" spans="1:16">
      <c r="A188" t="s">
        <v>402</v>
      </c>
      <c r="B188" t="s">
        <v>403</v>
      </c>
      <c r="C188" t="s">
        <v>39</v>
      </c>
      <c r="D188" t="s">
        <v>28</v>
      </c>
      <c r="E188" s="1">
        <v>145.51</v>
      </c>
      <c r="F188" s="1">
        <v>69.349999999999994</v>
      </c>
      <c r="G188" s="1">
        <v>76.16</v>
      </c>
      <c r="H188" s="2">
        <v>0.52340000000000009</v>
      </c>
      <c r="I188" t="s">
        <v>29</v>
      </c>
      <c r="J188" s="4">
        <v>42</v>
      </c>
      <c r="K188" s="4">
        <v>15</v>
      </c>
      <c r="L188" s="4">
        <v>408</v>
      </c>
      <c r="M188" s="4">
        <v>450</v>
      </c>
      <c r="N188" t="s">
        <v>30</v>
      </c>
      <c r="O188" t="s">
        <v>31</v>
      </c>
      <c r="P188" s="4" t="str">
        <f t="shared" si="2"/>
        <v>OK</v>
      </c>
    </row>
    <row r="189" spans="1:16">
      <c r="A189" t="s">
        <v>404</v>
      </c>
      <c r="B189" t="s">
        <v>405</v>
      </c>
      <c r="C189" t="s">
        <v>39</v>
      </c>
      <c r="D189" t="s">
        <v>28</v>
      </c>
      <c r="E189" s="1">
        <v>38.21</v>
      </c>
      <c r="F189" s="1">
        <v>25.07</v>
      </c>
      <c r="G189" s="1">
        <v>13.14</v>
      </c>
      <c r="H189" s="2">
        <v>0.34389999999999998</v>
      </c>
      <c r="I189" t="s">
        <v>29</v>
      </c>
      <c r="J189" s="4">
        <v>29</v>
      </c>
      <c r="K189" s="4">
        <v>15</v>
      </c>
      <c r="L189" s="4">
        <v>56</v>
      </c>
      <c r="M189" s="4">
        <v>85</v>
      </c>
      <c r="N189" t="s">
        <v>30</v>
      </c>
      <c r="O189" t="s">
        <v>31</v>
      </c>
      <c r="P189" s="4" t="str">
        <f t="shared" si="2"/>
        <v>OK</v>
      </c>
    </row>
    <row r="190" spans="1:16">
      <c r="A190" t="s">
        <v>406</v>
      </c>
      <c r="B190" t="s">
        <v>407</v>
      </c>
      <c r="C190" t="s">
        <v>122</v>
      </c>
      <c r="D190" t="s">
        <v>28</v>
      </c>
      <c r="E190" s="1">
        <v>23.83</v>
      </c>
      <c r="F190" s="1">
        <v>7.79</v>
      </c>
      <c r="G190" s="1">
        <v>16.04</v>
      </c>
      <c r="H190" s="2">
        <v>0.67310000000000003</v>
      </c>
      <c r="I190" t="s">
        <v>29</v>
      </c>
      <c r="J190" s="4">
        <v>45</v>
      </c>
      <c r="K190" s="4">
        <v>15</v>
      </c>
      <c r="L190" s="4">
        <v>221</v>
      </c>
      <c r="M190" s="4">
        <v>266</v>
      </c>
      <c r="N190" t="s">
        <v>30</v>
      </c>
      <c r="O190" t="s">
        <v>31</v>
      </c>
      <c r="P190" s="4" t="str">
        <f t="shared" si="2"/>
        <v>OK</v>
      </c>
    </row>
    <row r="191" spans="1:16">
      <c r="A191" t="s">
        <v>408</v>
      </c>
      <c r="B191" t="s">
        <v>409</v>
      </c>
      <c r="C191" t="s">
        <v>39</v>
      </c>
      <c r="D191" t="s">
        <v>28</v>
      </c>
      <c r="E191" s="1">
        <v>28.32</v>
      </c>
      <c r="F191" s="1">
        <v>18.2</v>
      </c>
      <c r="G191" s="1">
        <v>10.119999999999999</v>
      </c>
      <c r="H191" s="2">
        <v>0.35729999999999995</v>
      </c>
      <c r="I191" t="s">
        <v>29</v>
      </c>
      <c r="J191" s="4">
        <v>88</v>
      </c>
      <c r="K191" s="4">
        <v>15</v>
      </c>
      <c r="L191" s="4">
        <v>223</v>
      </c>
      <c r="M191" s="4">
        <v>311</v>
      </c>
      <c r="N191" t="s">
        <v>30</v>
      </c>
      <c r="O191" t="s">
        <v>31</v>
      </c>
      <c r="P191" s="4" t="str">
        <f t="shared" si="2"/>
        <v>OK</v>
      </c>
    </row>
    <row r="192" spans="1:16">
      <c r="A192" t="s">
        <v>410</v>
      </c>
      <c r="B192" t="s">
        <v>411</v>
      </c>
      <c r="C192" t="s">
        <v>39</v>
      </c>
      <c r="D192" t="s">
        <v>28</v>
      </c>
      <c r="E192" s="1">
        <v>28.33</v>
      </c>
      <c r="F192" s="1">
        <v>15.09</v>
      </c>
      <c r="G192" s="1">
        <v>13.24</v>
      </c>
      <c r="H192" s="2">
        <v>0.46729999999999999</v>
      </c>
      <c r="I192" t="s">
        <v>29</v>
      </c>
      <c r="J192" s="4">
        <v>38</v>
      </c>
      <c r="K192" s="4">
        <v>15</v>
      </c>
      <c r="L192" s="4">
        <v>78</v>
      </c>
      <c r="M192" s="4">
        <v>116</v>
      </c>
      <c r="N192" t="s">
        <v>30</v>
      </c>
      <c r="O192" t="s">
        <v>31</v>
      </c>
      <c r="P192" s="4" t="str">
        <f t="shared" si="2"/>
        <v>OK</v>
      </c>
    </row>
    <row r="193" spans="1:16">
      <c r="A193" t="s">
        <v>412</v>
      </c>
      <c r="B193" t="s">
        <v>413</v>
      </c>
      <c r="C193" t="s">
        <v>85</v>
      </c>
      <c r="D193" t="s">
        <v>28</v>
      </c>
      <c r="E193" s="1">
        <v>76.97</v>
      </c>
      <c r="F193" s="1">
        <v>40.17</v>
      </c>
      <c r="G193" s="1">
        <v>36.799999999999997</v>
      </c>
      <c r="H193" s="2">
        <v>0.47810000000000002</v>
      </c>
      <c r="I193" t="s">
        <v>29</v>
      </c>
      <c r="J193" s="4">
        <v>98</v>
      </c>
      <c r="K193" s="4">
        <v>15</v>
      </c>
      <c r="L193" s="4">
        <v>99</v>
      </c>
      <c r="M193" s="4">
        <v>197</v>
      </c>
      <c r="N193" t="s">
        <v>30</v>
      </c>
      <c r="O193" t="s">
        <v>31</v>
      </c>
      <c r="P193" s="4" t="str">
        <f t="shared" si="2"/>
        <v>OK</v>
      </c>
    </row>
    <row r="194" spans="1:16">
      <c r="A194" t="s">
        <v>414</v>
      </c>
      <c r="B194" t="s">
        <v>415</v>
      </c>
      <c r="C194" t="s">
        <v>39</v>
      </c>
      <c r="D194" t="s">
        <v>28</v>
      </c>
      <c r="E194" s="1">
        <v>16.91</v>
      </c>
      <c r="F194" s="1">
        <v>12.15</v>
      </c>
      <c r="G194" s="1">
        <v>4.76</v>
      </c>
      <c r="H194" s="2">
        <v>0.28149999999999997</v>
      </c>
      <c r="I194" t="s">
        <v>29</v>
      </c>
      <c r="J194" s="4">
        <v>19</v>
      </c>
      <c r="K194" s="4">
        <v>15</v>
      </c>
      <c r="L194" s="4">
        <v>500</v>
      </c>
      <c r="M194" s="4">
        <v>519</v>
      </c>
      <c r="N194" t="s">
        <v>30</v>
      </c>
      <c r="O194" t="s">
        <v>31</v>
      </c>
      <c r="P194" s="4" t="str">
        <f t="shared" ref="P194:P257" si="3">IF(COUNTIF($B$2:$B$506, B194)&gt;1, "DUPLICATE", "OK")</f>
        <v>OK</v>
      </c>
    </row>
    <row r="195" spans="1:16">
      <c r="A195" t="s">
        <v>416</v>
      </c>
      <c r="B195" t="s">
        <v>417</v>
      </c>
      <c r="C195" t="s">
        <v>39</v>
      </c>
      <c r="D195" t="s">
        <v>28</v>
      </c>
      <c r="E195" s="1">
        <v>20.21</v>
      </c>
      <c r="F195" s="1">
        <v>8.26</v>
      </c>
      <c r="G195" s="1">
        <v>11.95</v>
      </c>
      <c r="H195" s="2">
        <v>0.59130000000000005</v>
      </c>
      <c r="I195" t="s">
        <v>29</v>
      </c>
      <c r="J195" s="4">
        <v>0</v>
      </c>
      <c r="K195" s="4">
        <v>15</v>
      </c>
      <c r="L195" s="4">
        <v>19</v>
      </c>
      <c r="M195" s="4">
        <v>19</v>
      </c>
      <c r="N195" t="s">
        <v>19</v>
      </c>
      <c r="O195" t="s">
        <v>20</v>
      </c>
      <c r="P195" s="4" t="str">
        <f t="shared" si="3"/>
        <v>OK</v>
      </c>
    </row>
    <row r="196" spans="1:16">
      <c r="A196" t="s">
        <v>418</v>
      </c>
      <c r="B196" t="s">
        <v>419</v>
      </c>
      <c r="C196" t="s">
        <v>39</v>
      </c>
      <c r="D196" t="s">
        <v>28</v>
      </c>
      <c r="E196" s="1">
        <v>44.5</v>
      </c>
      <c r="F196" s="1">
        <v>18.25</v>
      </c>
      <c r="G196" s="1">
        <v>26.25</v>
      </c>
      <c r="H196" s="2">
        <v>0.58989999999999998</v>
      </c>
      <c r="I196" t="s">
        <v>29</v>
      </c>
      <c r="J196" s="4">
        <v>73</v>
      </c>
      <c r="K196" s="4">
        <v>15</v>
      </c>
      <c r="L196" s="4">
        <v>106</v>
      </c>
      <c r="M196" s="4">
        <v>179</v>
      </c>
      <c r="N196" t="s">
        <v>30</v>
      </c>
      <c r="O196" t="s">
        <v>31</v>
      </c>
      <c r="P196" s="4" t="str">
        <f t="shared" si="3"/>
        <v>OK</v>
      </c>
    </row>
    <row r="197" spans="1:16">
      <c r="A197" t="s">
        <v>420</v>
      </c>
      <c r="B197" t="s">
        <v>421</v>
      </c>
      <c r="C197" t="s">
        <v>39</v>
      </c>
      <c r="D197" t="s">
        <v>28</v>
      </c>
      <c r="E197" s="1">
        <v>25.04</v>
      </c>
      <c r="F197" s="1">
        <v>8.34</v>
      </c>
      <c r="G197" s="1">
        <v>16.7</v>
      </c>
      <c r="H197" s="2">
        <v>0.66689999999999994</v>
      </c>
      <c r="I197" t="s">
        <v>29</v>
      </c>
      <c r="J197" s="4">
        <v>47</v>
      </c>
      <c r="K197" s="4">
        <v>15</v>
      </c>
      <c r="L197" s="4">
        <v>474</v>
      </c>
      <c r="M197" s="4">
        <v>521</v>
      </c>
      <c r="N197" t="s">
        <v>30</v>
      </c>
      <c r="O197" t="s">
        <v>31</v>
      </c>
      <c r="P197" s="4" t="str">
        <f t="shared" si="3"/>
        <v>OK</v>
      </c>
    </row>
    <row r="198" spans="1:16">
      <c r="A198" t="s">
        <v>422</v>
      </c>
      <c r="B198" t="s">
        <v>423</v>
      </c>
      <c r="C198" t="s">
        <v>39</v>
      </c>
      <c r="D198" t="s">
        <v>28</v>
      </c>
      <c r="E198" s="1">
        <v>14.01</v>
      </c>
      <c r="F198" s="1">
        <v>5.14</v>
      </c>
      <c r="G198" s="1">
        <v>8.8699999999999992</v>
      </c>
      <c r="H198" s="2">
        <v>0.6331</v>
      </c>
      <c r="I198" t="s">
        <v>29</v>
      </c>
      <c r="J198" s="4">
        <v>65</v>
      </c>
      <c r="K198" s="4">
        <v>15</v>
      </c>
      <c r="L198" s="4">
        <v>211</v>
      </c>
      <c r="M198" s="4">
        <v>276</v>
      </c>
      <c r="N198" t="s">
        <v>30</v>
      </c>
      <c r="O198" t="s">
        <v>31</v>
      </c>
      <c r="P198" s="4" t="str">
        <f t="shared" si="3"/>
        <v>OK</v>
      </c>
    </row>
    <row r="199" spans="1:16">
      <c r="A199" t="s">
        <v>424</v>
      </c>
      <c r="B199" t="s">
        <v>425</v>
      </c>
      <c r="C199" t="s">
        <v>39</v>
      </c>
      <c r="D199" t="s">
        <v>28</v>
      </c>
      <c r="E199" s="1">
        <v>52.07</v>
      </c>
      <c r="F199" s="1">
        <v>31</v>
      </c>
      <c r="G199" s="1">
        <v>21.07</v>
      </c>
      <c r="H199" s="2">
        <v>0.40460000000000002</v>
      </c>
      <c r="I199" t="s">
        <v>29</v>
      </c>
      <c r="J199" s="4">
        <v>59</v>
      </c>
      <c r="K199" s="4">
        <v>15</v>
      </c>
      <c r="L199" s="4">
        <v>280</v>
      </c>
      <c r="M199" s="4">
        <v>339</v>
      </c>
      <c r="N199" t="s">
        <v>30</v>
      </c>
      <c r="O199" t="s">
        <v>31</v>
      </c>
      <c r="P199" s="4" t="str">
        <f t="shared" si="3"/>
        <v>OK</v>
      </c>
    </row>
    <row r="200" spans="1:16">
      <c r="A200" t="s">
        <v>426</v>
      </c>
      <c r="B200" t="s">
        <v>427</v>
      </c>
      <c r="C200" t="s">
        <v>39</v>
      </c>
      <c r="D200" t="s">
        <v>28</v>
      </c>
      <c r="E200" s="1">
        <v>15.12</v>
      </c>
      <c r="F200" s="1">
        <v>5.19</v>
      </c>
      <c r="G200" s="1">
        <v>9.93</v>
      </c>
      <c r="H200" s="2">
        <v>0.65670000000000006</v>
      </c>
      <c r="I200" t="s">
        <v>29</v>
      </c>
      <c r="J200" s="4">
        <v>38</v>
      </c>
      <c r="K200" s="4">
        <v>15</v>
      </c>
      <c r="L200" s="4">
        <v>473</v>
      </c>
      <c r="M200" s="4">
        <v>511</v>
      </c>
      <c r="N200" t="s">
        <v>30</v>
      </c>
      <c r="O200" t="s">
        <v>31</v>
      </c>
      <c r="P200" s="4" t="str">
        <f t="shared" si="3"/>
        <v>OK</v>
      </c>
    </row>
    <row r="201" spans="1:16">
      <c r="A201" t="s">
        <v>428</v>
      </c>
      <c r="B201" t="s">
        <v>429</v>
      </c>
      <c r="C201" t="s">
        <v>39</v>
      </c>
      <c r="D201" t="s">
        <v>28</v>
      </c>
      <c r="E201" s="1">
        <v>66.05</v>
      </c>
      <c r="F201" s="1">
        <v>47.8</v>
      </c>
      <c r="G201" s="1">
        <v>18.25</v>
      </c>
      <c r="H201" s="2">
        <v>0.27629999999999999</v>
      </c>
      <c r="I201" t="s">
        <v>29</v>
      </c>
      <c r="J201" s="4">
        <v>19</v>
      </c>
      <c r="K201" s="4">
        <v>15</v>
      </c>
      <c r="L201" s="4">
        <v>374</v>
      </c>
      <c r="M201" s="4">
        <v>393</v>
      </c>
      <c r="N201" t="s">
        <v>30</v>
      </c>
      <c r="O201" t="s">
        <v>31</v>
      </c>
      <c r="P201" s="4" t="str">
        <f t="shared" si="3"/>
        <v>OK</v>
      </c>
    </row>
    <row r="202" spans="1:16">
      <c r="A202" t="s">
        <v>430</v>
      </c>
      <c r="B202" t="s">
        <v>431</v>
      </c>
      <c r="C202" t="s">
        <v>64</v>
      </c>
      <c r="D202" t="s">
        <v>28</v>
      </c>
      <c r="E202" s="1">
        <v>17.79</v>
      </c>
      <c r="F202" s="1">
        <v>12.44</v>
      </c>
      <c r="G202" s="1">
        <v>5.35</v>
      </c>
      <c r="H202" s="2">
        <v>0.30070000000000002</v>
      </c>
      <c r="I202" t="s">
        <v>29</v>
      </c>
      <c r="J202" s="4">
        <v>82</v>
      </c>
      <c r="K202" s="4">
        <v>15</v>
      </c>
      <c r="L202" s="4">
        <v>436</v>
      </c>
      <c r="M202" s="4">
        <v>518</v>
      </c>
      <c r="N202" t="s">
        <v>30</v>
      </c>
      <c r="O202" t="s">
        <v>31</v>
      </c>
      <c r="P202" s="4" t="str">
        <f t="shared" si="3"/>
        <v>OK</v>
      </c>
    </row>
    <row r="203" spans="1:16">
      <c r="A203" t="s">
        <v>432</v>
      </c>
      <c r="B203" t="s">
        <v>433</v>
      </c>
      <c r="C203" t="s">
        <v>39</v>
      </c>
      <c r="D203" t="s">
        <v>28</v>
      </c>
      <c r="E203" s="1">
        <v>46.73</v>
      </c>
      <c r="F203" s="1">
        <v>23.18</v>
      </c>
      <c r="G203" s="1">
        <v>23.55</v>
      </c>
      <c r="H203" s="2">
        <v>0.504</v>
      </c>
      <c r="I203" t="s">
        <v>29</v>
      </c>
      <c r="J203" s="4">
        <v>26</v>
      </c>
      <c r="K203" s="4">
        <v>15</v>
      </c>
      <c r="L203" s="4">
        <v>149</v>
      </c>
      <c r="M203" s="4">
        <v>175</v>
      </c>
      <c r="N203" t="s">
        <v>30</v>
      </c>
      <c r="O203" t="s">
        <v>31</v>
      </c>
      <c r="P203" s="4" t="str">
        <f t="shared" si="3"/>
        <v>OK</v>
      </c>
    </row>
    <row r="204" spans="1:16">
      <c r="A204" t="s">
        <v>434</v>
      </c>
      <c r="B204" t="s">
        <v>435</v>
      </c>
      <c r="C204" t="s">
        <v>39</v>
      </c>
      <c r="D204" t="s">
        <v>28</v>
      </c>
      <c r="E204" s="1">
        <v>49.21</v>
      </c>
      <c r="F204" s="1">
        <v>35.29</v>
      </c>
      <c r="G204" s="1">
        <v>13.92</v>
      </c>
      <c r="H204" s="2">
        <v>0.28289999999999998</v>
      </c>
      <c r="I204" t="s">
        <v>29</v>
      </c>
      <c r="J204" s="4">
        <v>20</v>
      </c>
      <c r="K204" s="4">
        <v>15</v>
      </c>
      <c r="L204" s="4">
        <v>155</v>
      </c>
      <c r="M204" s="4">
        <v>175</v>
      </c>
      <c r="N204" t="s">
        <v>30</v>
      </c>
      <c r="O204" t="s">
        <v>31</v>
      </c>
      <c r="P204" s="4" t="str">
        <f t="shared" si="3"/>
        <v>OK</v>
      </c>
    </row>
    <row r="205" spans="1:16">
      <c r="A205" t="s">
        <v>436</v>
      </c>
      <c r="B205" t="s">
        <v>437</v>
      </c>
      <c r="C205" t="s">
        <v>78</v>
      </c>
      <c r="D205" t="s">
        <v>28</v>
      </c>
      <c r="E205" s="1">
        <v>49.12</v>
      </c>
      <c r="F205" s="1">
        <v>17.23</v>
      </c>
      <c r="G205" s="1">
        <v>31.89</v>
      </c>
      <c r="H205" s="2">
        <v>0.6492</v>
      </c>
      <c r="I205" t="s">
        <v>29</v>
      </c>
      <c r="J205" s="4">
        <v>12</v>
      </c>
      <c r="K205" s="4">
        <v>15</v>
      </c>
      <c r="L205" s="4">
        <v>343</v>
      </c>
      <c r="M205" s="4">
        <v>355</v>
      </c>
      <c r="N205" t="s">
        <v>73</v>
      </c>
      <c r="O205" t="s">
        <v>31</v>
      </c>
      <c r="P205" s="4" t="str">
        <f t="shared" si="3"/>
        <v>OK</v>
      </c>
    </row>
    <row r="206" spans="1:16">
      <c r="A206" t="s">
        <v>438</v>
      </c>
      <c r="B206" t="s">
        <v>439</v>
      </c>
      <c r="C206" t="s">
        <v>39</v>
      </c>
      <c r="D206" t="s">
        <v>28</v>
      </c>
      <c r="E206" s="1">
        <v>46.13</v>
      </c>
      <c r="F206" s="1">
        <v>27.19</v>
      </c>
      <c r="G206" s="1">
        <v>18.940000000000001</v>
      </c>
      <c r="H206" s="2">
        <v>0.41060000000000002</v>
      </c>
      <c r="I206" t="s">
        <v>29</v>
      </c>
      <c r="J206" s="4">
        <v>85</v>
      </c>
      <c r="K206" s="4">
        <v>15</v>
      </c>
      <c r="L206" s="4">
        <v>166</v>
      </c>
      <c r="M206" s="4">
        <v>251</v>
      </c>
      <c r="N206" t="s">
        <v>30</v>
      </c>
      <c r="O206" t="s">
        <v>31</v>
      </c>
      <c r="P206" s="4" t="str">
        <f t="shared" si="3"/>
        <v>OK</v>
      </c>
    </row>
    <row r="207" spans="1:16">
      <c r="A207" t="s">
        <v>440</v>
      </c>
      <c r="B207" t="s">
        <v>441</v>
      </c>
      <c r="C207" t="s">
        <v>34</v>
      </c>
      <c r="D207" t="s">
        <v>28</v>
      </c>
      <c r="E207" s="1">
        <v>822.54</v>
      </c>
      <c r="F207" s="1">
        <v>258.05</v>
      </c>
      <c r="G207" s="1">
        <v>564.49</v>
      </c>
      <c r="H207" s="2">
        <v>0.68629999999999991</v>
      </c>
      <c r="I207" t="s">
        <v>29</v>
      </c>
      <c r="J207" s="4">
        <v>18</v>
      </c>
      <c r="K207" s="4">
        <v>15</v>
      </c>
      <c r="L207" s="4">
        <v>13</v>
      </c>
      <c r="M207" s="4">
        <v>31</v>
      </c>
      <c r="N207" t="s">
        <v>30</v>
      </c>
      <c r="O207" t="s">
        <v>31</v>
      </c>
      <c r="P207" s="4" t="str">
        <f t="shared" si="3"/>
        <v>OK</v>
      </c>
    </row>
    <row r="208" spans="1:16">
      <c r="A208" t="s">
        <v>442</v>
      </c>
      <c r="B208" t="s">
        <v>443</v>
      </c>
      <c r="C208" t="s">
        <v>64</v>
      </c>
      <c r="D208" t="s">
        <v>28</v>
      </c>
      <c r="E208" s="1">
        <v>90.19</v>
      </c>
      <c r="F208" s="1">
        <v>57.44</v>
      </c>
      <c r="G208" s="1">
        <v>32.75</v>
      </c>
      <c r="H208" s="2">
        <v>0.36310000000000003</v>
      </c>
      <c r="I208" t="s">
        <v>29</v>
      </c>
      <c r="J208" s="4">
        <v>0</v>
      </c>
      <c r="K208" s="4">
        <v>15</v>
      </c>
      <c r="L208" s="4">
        <v>402</v>
      </c>
      <c r="M208" s="4">
        <v>402</v>
      </c>
      <c r="N208" t="s">
        <v>19</v>
      </c>
      <c r="O208" t="s">
        <v>20</v>
      </c>
      <c r="P208" s="4" t="str">
        <f t="shared" si="3"/>
        <v>OK</v>
      </c>
    </row>
    <row r="209" spans="1:16">
      <c r="A209" t="s">
        <v>444</v>
      </c>
      <c r="B209" t="s">
        <v>445</v>
      </c>
      <c r="C209" t="s">
        <v>34</v>
      </c>
      <c r="D209" t="s">
        <v>28</v>
      </c>
      <c r="E209" s="1">
        <v>367.31</v>
      </c>
      <c r="F209" s="1">
        <v>135.46</v>
      </c>
      <c r="G209" s="1">
        <v>231.85</v>
      </c>
      <c r="H209" s="2">
        <v>0.63119999999999998</v>
      </c>
      <c r="I209" t="s">
        <v>29</v>
      </c>
      <c r="J209" s="4">
        <v>52</v>
      </c>
      <c r="K209" s="4">
        <v>15</v>
      </c>
      <c r="L209" s="4">
        <v>115</v>
      </c>
      <c r="M209" s="4">
        <v>167</v>
      </c>
      <c r="N209" t="s">
        <v>30</v>
      </c>
      <c r="O209" t="s">
        <v>31</v>
      </c>
      <c r="P209" s="4" t="str">
        <f t="shared" si="3"/>
        <v>OK</v>
      </c>
    </row>
    <row r="210" spans="1:16">
      <c r="A210" t="s">
        <v>446</v>
      </c>
      <c r="B210" t="s">
        <v>447</v>
      </c>
      <c r="C210" t="s">
        <v>34</v>
      </c>
      <c r="D210" t="s">
        <v>28</v>
      </c>
      <c r="E210" s="1">
        <v>98.23</v>
      </c>
      <c r="F210" s="1">
        <v>47.78</v>
      </c>
      <c r="G210" s="1">
        <v>50.45</v>
      </c>
      <c r="H210" s="2">
        <v>0.51359999999999995</v>
      </c>
      <c r="I210" t="s">
        <v>29</v>
      </c>
      <c r="J210" s="4">
        <v>76</v>
      </c>
      <c r="K210" s="4">
        <v>15</v>
      </c>
      <c r="L210" s="4">
        <v>261</v>
      </c>
      <c r="M210" s="4">
        <v>337</v>
      </c>
      <c r="N210" t="s">
        <v>30</v>
      </c>
      <c r="O210" t="s">
        <v>31</v>
      </c>
      <c r="P210" s="4" t="str">
        <f t="shared" si="3"/>
        <v>OK</v>
      </c>
    </row>
    <row r="211" spans="1:16">
      <c r="A211" t="s">
        <v>448</v>
      </c>
      <c r="B211" t="s">
        <v>449</v>
      </c>
      <c r="C211" t="s">
        <v>34</v>
      </c>
      <c r="D211" t="s">
        <v>28</v>
      </c>
      <c r="E211" s="1">
        <v>362.27</v>
      </c>
      <c r="F211" s="1">
        <v>216.67</v>
      </c>
      <c r="G211" s="1">
        <v>145.6</v>
      </c>
      <c r="H211" s="2">
        <v>0.40189999999999998</v>
      </c>
      <c r="I211" t="s">
        <v>29</v>
      </c>
      <c r="J211" s="4">
        <v>26</v>
      </c>
      <c r="K211" s="4">
        <v>15</v>
      </c>
      <c r="L211" s="4">
        <v>222</v>
      </c>
      <c r="M211" s="4">
        <v>248</v>
      </c>
      <c r="N211" t="s">
        <v>30</v>
      </c>
      <c r="O211" t="s">
        <v>31</v>
      </c>
      <c r="P211" s="4" t="str">
        <f t="shared" si="3"/>
        <v>OK</v>
      </c>
    </row>
    <row r="212" spans="1:16">
      <c r="A212" t="s">
        <v>450</v>
      </c>
      <c r="B212" t="s">
        <v>451</v>
      </c>
      <c r="C212" t="s">
        <v>34</v>
      </c>
      <c r="D212" t="s">
        <v>28</v>
      </c>
      <c r="E212" s="1">
        <v>476.03</v>
      </c>
      <c r="F212" s="1">
        <v>204.22</v>
      </c>
      <c r="G212" s="1">
        <v>271.81</v>
      </c>
      <c r="H212" s="2">
        <v>0.57100000000000006</v>
      </c>
      <c r="I212" t="s">
        <v>29</v>
      </c>
      <c r="J212" s="4">
        <v>68</v>
      </c>
      <c r="K212" s="4">
        <v>15</v>
      </c>
      <c r="L212" s="4">
        <v>96</v>
      </c>
      <c r="M212" s="4">
        <v>164</v>
      </c>
      <c r="N212" t="s">
        <v>30</v>
      </c>
      <c r="O212" t="s">
        <v>31</v>
      </c>
      <c r="P212" s="4" t="str">
        <f t="shared" si="3"/>
        <v>OK</v>
      </c>
    </row>
    <row r="213" spans="1:16">
      <c r="A213" t="s">
        <v>452</v>
      </c>
      <c r="B213" t="s">
        <v>453</v>
      </c>
      <c r="C213" t="s">
        <v>34</v>
      </c>
      <c r="D213" t="s">
        <v>28</v>
      </c>
      <c r="E213" s="1">
        <v>643.82000000000005</v>
      </c>
      <c r="F213" s="1">
        <v>234.83</v>
      </c>
      <c r="G213" s="1">
        <v>408.99</v>
      </c>
      <c r="H213" s="2">
        <v>0.63529999999999998</v>
      </c>
      <c r="I213" t="s">
        <v>29</v>
      </c>
      <c r="J213" s="4">
        <v>94</v>
      </c>
      <c r="K213" s="4">
        <v>15</v>
      </c>
      <c r="L213" s="4">
        <v>462</v>
      </c>
      <c r="M213" s="4">
        <v>556</v>
      </c>
      <c r="N213" t="s">
        <v>30</v>
      </c>
      <c r="O213" t="s">
        <v>31</v>
      </c>
      <c r="P213" s="4" t="str">
        <f t="shared" si="3"/>
        <v>OK</v>
      </c>
    </row>
    <row r="214" spans="1:16">
      <c r="A214" t="s">
        <v>454</v>
      </c>
      <c r="B214" t="s">
        <v>455</v>
      </c>
      <c r="C214" t="s">
        <v>78</v>
      </c>
      <c r="D214" t="s">
        <v>28</v>
      </c>
      <c r="E214" s="1">
        <v>17.239999999999998</v>
      </c>
      <c r="F214" s="1">
        <v>9.0299999999999994</v>
      </c>
      <c r="G214" s="1">
        <v>8.2100000000000009</v>
      </c>
      <c r="H214" s="2">
        <v>0.47619999999999996</v>
      </c>
      <c r="I214" t="s">
        <v>29</v>
      </c>
      <c r="J214" s="4">
        <v>94</v>
      </c>
      <c r="K214" s="4">
        <v>15</v>
      </c>
      <c r="L214" s="4">
        <v>21</v>
      </c>
      <c r="M214" s="4">
        <v>115</v>
      </c>
      <c r="N214" t="s">
        <v>30</v>
      </c>
      <c r="O214" t="s">
        <v>31</v>
      </c>
      <c r="P214" s="4" t="str">
        <f t="shared" si="3"/>
        <v>DUPLICATE</v>
      </c>
    </row>
    <row r="215" spans="1:16">
      <c r="A215" t="s">
        <v>456</v>
      </c>
      <c r="B215" t="s">
        <v>457</v>
      </c>
      <c r="C215" t="s">
        <v>34</v>
      </c>
      <c r="D215" t="s">
        <v>28</v>
      </c>
      <c r="E215" s="1">
        <v>40.72</v>
      </c>
      <c r="F215" s="1">
        <v>17.47</v>
      </c>
      <c r="G215" s="1">
        <v>23.25</v>
      </c>
      <c r="H215" s="2">
        <v>0.57100000000000006</v>
      </c>
      <c r="I215" t="s">
        <v>29</v>
      </c>
      <c r="J215" s="4">
        <v>7</v>
      </c>
      <c r="K215" s="4">
        <v>15</v>
      </c>
      <c r="L215" s="4">
        <v>243</v>
      </c>
      <c r="M215" s="4">
        <v>250</v>
      </c>
      <c r="N215" t="s">
        <v>73</v>
      </c>
      <c r="O215" t="s">
        <v>31</v>
      </c>
      <c r="P215" s="4" t="str">
        <f t="shared" si="3"/>
        <v>OK</v>
      </c>
    </row>
    <row r="216" spans="1:16">
      <c r="A216" t="s">
        <v>458</v>
      </c>
      <c r="B216" t="s">
        <v>459</v>
      </c>
      <c r="C216" t="s">
        <v>34</v>
      </c>
      <c r="D216" t="s">
        <v>28</v>
      </c>
      <c r="E216" s="1">
        <v>21.86</v>
      </c>
      <c r="F216" s="1">
        <v>13.75</v>
      </c>
      <c r="G216" s="1">
        <v>8.11</v>
      </c>
      <c r="H216" s="2">
        <v>0.371</v>
      </c>
      <c r="I216" t="s">
        <v>29</v>
      </c>
      <c r="J216" s="4">
        <v>73</v>
      </c>
      <c r="K216" s="4">
        <v>15</v>
      </c>
      <c r="L216" s="4">
        <v>467</v>
      </c>
      <c r="M216" s="4">
        <v>540</v>
      </c>
      <c r="N216" t="s">
        <v>30</v>
      </c>
      <c r="O216" t="s">
        <v>31</v>
      </c>
      <c r="P216" s="4" t="str">
        <f t="shared" si="3"/>
        <v>OK</v>
      </c>
    </row>
    <row r="217" spans="1:16">
      <c r="A217" t="s">
        <v>460</v>
      </c>
      <c r="B217" t="s">
        <v>461</v>
      </c>
      <c r="C217" t="s">
        <v>27</v>
      </c>
      <c r="D217" t="s">
        <v>28</v>
      </c>
      <c r="E217" s="1">
        <v>22.45</v>
      </c>
      <c r="F217" s="1">
        <v>7.81</v>
      </c>
      <c r="G217" s="1">
        <v>14.64</v>
      </c>
      <c r="H217" s="2">
        <v>0.6520999999999999</v>
      </c>
      <c r="I217" t="s">
        <v>29</v>
      </c>
      <c r="J217" s="4">
        <v>21</v>
      </c>
      <c r="K217" s="4">
        <v>15</v>
      </c>
      <c r="L217" s="4">
        <v>62</v>
      </c>
      <c r="M217" s="4">
        <v>83</v>
      </c>
      <c r="N217" t="s">
        <v>30</v>
      </c>
      <c r="O217" t="s">
        <v>31</v>
      </c>
      <c r="P217" s="4" t="str">
        <f t="shared" si="3"/>
        <v>OK</v>
      </c>
    </row>
    <row r="218" spans="1:16">
      <c r="A218" t="s">
        <v>462</v>
      </c>
      <c r="B218" t="s">
        <v>463</v>
      </c>
      <c r="C218" t="s">
        <v>34</v>
      </c>
      <c r="D218" t="s">
        <v>28</v>
      </c>
      <c r="E218" s="1">
        <v>546.04999999999995</v>
      </c>
      <c r="F218" s="1">
        <v>226.47</v>
      </c>
      <c r="G218" s="1">
        <v>319.58</v>
      </c>
      <c r="H218" s="2">
        <v>0.58530000000000004</v>
      </c>
      <c r="I218" t="s">
        <v>29</v>
      </c>
      <c r="J218" s="4">
        <v>2</v>
      </c>
      <c r="K218" s="4">
        <v>15</v>
      </c>
      <c r="L218" s="4">
        <v>441</v>
      </c>
      <c r="M218" s="4">
        <v>443</v>
      </c>
      <c r="N218" t="s">
        <v>73</v>
      </c>
      <c r="O218" t="s">
        <v>31</v>
      </c>
      <c r="P218" s="4" t="str">
        <f t="shared" si="3"/>
        <v>OK</v>
      </c>
    </row>
    <row r="219" spans="1:16">
      <c r="A219" t="s">
        <v>464</v>
      </c>
      <c r="B219" t="s">
        <v>465</v>
      </c>
      <c r="C219" t="s">
        <v>34</v>
      </c>
      <c r="D219" t="s">
        <v>28</v>
      </c>
      <c r="E219" s="1">
        <v>112.33</v>
      </c>
      <c r="F219" s="1">
        <v>51.54</v>
      </c>
      <c r="G219" s="1">
        <v>60.79</v>
      </c>
      <c r="H219" s="2">
        <v>0.54120000000000001</v>
      </c>
      <c r="I219" t="s">
        <v>29</v>
      </c>
      <c r="J219" s="4">
        <v>90</v>
      </c>
      <c r="K219" s="4">
        <v>15</v>
      </c>
      <c r="L219" s="4">
        <v>314</v>
      </c>
      <c r="M219" s="4">
        <v>404</v>
      </c>
      <c r="N219" t="s">
        <v>30</v>
      </c>
      <c r="O219" t="s">
        <v>31</v>
      </c>
      <c r="P219" s="4" t="str">
        <f t="shared" si="3"/>
        <v>DUPLICATE</v>
      </c>
    </row>
    <row r="220" spans="1:16">
      <c r="A220" t="s">
        <v>466</v>
      </c>
      <c r="B220" t="s">
        <v>467</v>
      </c>
      <c r="C220" t="s">
        <v>122</v>
      </c>
      <c r="D220" t="s">
        <v>28</v>
      </c>
      <c r="E220" s="1">
        <v>45.88</v>
      </c>
      <c r="F220" s="1">
        <v>14.12</v>
      </c>
      <c r="G220" s="1">
        <v>31.76</v>
      </c>
      <c r="H220" s="2">
        <v>0.69220000000000004</v>
      </c>
      <c r="I220" t="s">
        <v>29</v>
      </c>
      <c r="J220" s="4">
        <v>36</v>
      </c>
      <c r="K220" s="4">
        <v>15</v>
      </c>
      <c r="L220" s="4">
        <v>266</v>
      </c>
      <c r="M220" s="4">
        <v>302</v>
      </c>
      <c r="N220" t="s">
        <v>30</v>
      </c>
      <c r="O220" t="s">
        <v>31</v>
      </c>
      <c r="P220" s="4" t="str">
        <f t="shared" si="3"/>
        <v>OK</v>
      </c>
    </row>
    <row r="221" spans="1:16">
      <c r="A221" t="s">
        <v>468</v>
      </c>
      <c r="B221" t="s">
        <v>469</v>
      </c>
      <c r="C221" t="s">
        <v>34</v>
      </c>
      <c r="D221" t="s">
        <v>28</v>
      </c>
      <c r="E221" s="1">
        <v>95.41</v>
      </c>
      <c r="F221" s="1">
        <v>43.78</v>
      </c>
      <c r="G221" s="1">
        <v>51.63</v>
      </c>
      <c r="H221" s="2">
        <v>0.54110000000000003</v>
      </c>
      <c r="I221" t="s">
        <v>29</v>
      </c>
      <c r="J221" s="4">
        <v>38</v>
      </c>
      <c r="K221" s="4">
        <v>15</v>
      </c>
      <c r="L221" s="4">
        <v>185</v>
      </c>
      <c r="M221" s="4">
        <v>223</v>
      </c>
      <c r="N221" t="s">
        <v>30</v>
      </c>
      <c r="O221" t="s">
        <v>31</v>
      </c>
      <c r="P221" s="4" t="str">
        <f t="shared" si="3"/>
        <v>OK</v>
      </c>
    </row>
    <row r="222" spans="1:16">
      <c r="A222" t="s">
        <v>470</v>
      </c>
      <c r="B222" t="s">
        <v>471</v>
      </c>
      <c r="C222" t="s">
        <v>144</v>
      </c>
      <c r="D222" t="s">
        <v>28</v>
      </c>
      <c r="E222" s="1">
        <v>81.38</v>
      </c>
      <c r="F222" s="1">
        <v>32.229999999999997</v>
      </c>
      <c r="G222" s="1">
        <v>49.15</v>
      </c>
      <c r="H222" s="2">
        <v>0.60399999999999998</v>
      </c>
      <c r="I222" t="s">
        <v>29</v>
      </c>
      <c r="J222" s="4">
        <v>36</v>
      </c>
      <c r="K222" s="4">
        <v>15</v>
      </c>
      <c r="L222" s="4">
        <v>479</v>
      </c>
      <c r="M222" s="4">
        <v>515</v>
      </c>
      <c r="N222" t="s">
        <v>30</v>
      </c>
      <c r="O222" t="s">
        <v>31</v>
      </c>
      <c r="P222" s="4" t="str">
        <f t="shared" si="3"/>
        <v>OK</v>
      </c>
    </row>
    <row r="223" spans="1:16">
      <c r="A223" t="s">
        <v>472</v>
      </c>
      <c r="B223" t="s">
        <v>473</v>
      </c>
      <c r="C223" t="s">
        <v>27</v>
      </c>
      <c r="D223" t="s">
        <v>28</v>
      </c>
      <c r="E223" s="1">
        <v>16.07</v>
      </c>
      <c r="F223" s="1">
        <v>5.33</v>
      </c>
      <c r="G223" s="1">
        <v>10.74</v>
      </c>
      <c r="H223" s="2">
        <v>0.66830000000000001</v>
      </c>
      <c r="I223" t="s">
        <v>29</v>
      </c>
      <c r="J223" s="4">
        <v>60</v>
      </c>
      <c r="K223" s="4">
        <v>15</v>
      </c>
      <c r="L223" s="4">
        <v>260</v>
      </c>
      <c r="M223" s="4">
        <v>320</v>
      </c>
      <c r="N223" t="s">
        <v>30</v>
      </c>
      <c r="O223" t="s">
        <v>31</v>
      </c>
      <c r="P223" s="4" t="str">
        <f t="shared" si="3"/>
        <v>OK</v>
      </c>
    </row>
    <row r="224" spans="1:16">
      <c r="A224" t="s">
        <v>474</v>
      </c>
      <c r="B224" t="s">
        <v>475</v>
      </c>
      <c r="C224" t="s">
        <v>34</v>
      </c>
      <c r="D224" t="s">
        <v>28</v>
      </c>
      <c r="E224" s="1">
        <v>82.91</v>
      </c>
      <c r="F224" s="1">
        <v>55.83</v>
      </c>
      <c r="G224" s="1">
        <v>27.08</v>
      </c>
      <c r="H224" s="2">
        <v>0.32659999999999995</v>
      </c>
      <c r="I224" t="s">
        <v>29</v>
      </c>
      <c r="J224" s="4">
        <v>32</v>
      </c>
      <c r="K224" s="4">
        <v>15</v>
      </c>
      <c r="L224" s="4">
        <v>385</v>
      </c>
      <c r="M224" s="4">
        <v>417</v>
      </c>
      <c r="N224" t="s">
        <v>30</v>
      </c>
      <c r="O224" t="s">
        <v>31</v>
      </c>
      <c r="P224" s="4" t="str">
        <f t="shared" si="3"/>
        <v>OK</v>
      </c>
    </row>
    <row r="225" spans="1:16">
      <c r="A225" t="s">
        <v>476</v>
      </c>
      <c r="B225" t="s">
        <v>477</v>
      </c>
      <c r="C225" t="s">
        <v>34</v>
      </c>
      <c r="D225" t="s">
        <v>28</v>
      </c>
      <c r="E225" s="1">
        <v>166.92</v>
      </c>
      <c r="F225" s="1">
        <v>57.2</v>
      </c>
      <c r="G225" s="1">
        <v>109.72</v>
      </c>
      <c r="H225" s="2">
        <v>0.6573</v>
      </c>
      <c r="I225" t="s">
        <v>29</v>
      </c>
      <c r="J225" s="4">
        <v>97</v>
      </c>
      <c r="K225" s="4">
        <v>15</v>
      </c>
      <c r="L225" s="4">
        <v>340</v>
      </c>
      <c r="M225" s="4">
        <v>437</v>
      </c>
      <c r="N225" t="s">
        <v>30</v>
      </c>
      <c r="O225" t="s">
        <v>31</v>
      </c>
      <c r="P225" s="4" t="str">
        <f t="shared" si="3"/>
        <v>OK</v>
      </c>
    </row>
    <row r="226" spans="1:16">
      <c r="A226" t="s">
        <v>478</v>
      </c>
      <c r="B226" t="s">
        <v>479</v>
      </c>
      <c r="C226" t="s">
        <v>122</v>
      </c>
      <c r="D226" t="s">
        <v>28</v>
      </c>
      <c r="E226" s="1">
        <v>24.26</v>
      </c>
      <c r="F226" s="1">
        <v>10.82</v>
      </c>
      <c r="G226" s="1">
        <v>13.44</v>
      </c>
      <c r="H226" s="2">
        <v>0.55399999999999994</v>
      </c>
      <c r="I226" t="s">
        <v>29</v>
      </c>
      <c r="J226" s="4">
        <v>5</v>
      </c>
      <c r="K226" s="4">
        <v>15</v>
      </c>
      <c r="L226" s="4">
        <v>42</v>
      </c>
      <c r="M226" s="4">
        <v>47</v>
      </c>
      <c r="N226" t="s">
        <v>73</v>
      </c>
      <c r="O226" t="s">
        <v>31</v>
      </c>
      <c r="P226" s="4" t="str">
        <f t="shared" si="3"/>
        <v>OK</v>
      </c>
    </row>
    <row r="227" spans="1:16">
      <c r="A227" t="s">
        <v>480</v>
      </c>
      <c r="B227" t="s">
        <v>75</v>
      </c>
      <c r="C227" t="s">
        <v>34</v>
      </c>
      <c r="D227" t="s">
        <v>28</v>
      </c>
      <c r="E227" s="1">
        <v>137.29</v>
      </c>
      <c r="F227" s="1">
        <v>89.41</v>
      </c>
      <c r="G227" s="1">
        <v>47.88</v>
      </c>
      <c r="H227" s="2">
        <v>0.3488</v>
      </c>
      <c r="I227" t="s">
        <v>29</v>
      </c>
      <c r="J227" s="4">
        <v>58</v>
      </c>
      <c r="K227" s="4">
        <v>15</v>
      </c>
      <c r="L227" s="4">
        <v>105</v>
      </c>
      <c r="M227" s="4">
        <v>163</v>
      </c>
      <c r="N227" t="s">
        <v>30</v>
      </c>
      <c r="O227" t="s">
        <v>31</v>
      </c>
      <c r="P227" s="4" t="str">
        <f t="shared" si="3"/>
        <v>DUPLICATE</v>
      </c>
    </row>
    <row r="228" spans="1:16">
      <c r="A228" t="s">
        <v>481</v>
      </c>
      <c r="B228" t="s">
        <v>482</v>
      </c>
      <c r="C228" t="s">
        <v>34</v>
      </c>
      <c r="D228" t="s">
        <v>28</v>
      </c>
      <c r="E228" s="1">
        <v>263.02999999999997</v>
      </c>
      <c r="F228" s="1">
        <v>192.45</v>
      </c>
      <c r="G228" s="1">
        <v>70.58</v>
      </c>
      <c r="H228" s="2">
        <v>0.26829999999999998</v>
      </c>
      <c r="I228" t="s">
        <v>29</v>
      </c>
      <c r="J228" s="4">
        <v>62</v>
      </c>
      <c r="K228" s="4">
        <v>15</v>
      </c>
      <c r="L228" s="4">
        <v>92</v>
      </c>
      <c r="M228" s="4">
        <v>154</v>
      </c>
      <c r="N228" t="s">
        <v>30</v>
      </c>
      <c r="O228" t="s">
        <v>31</v>
      </c>
      <c r="P228" s="4" t="str">
        <f t="shared" si="3"/>
        <v>OK</v>
      </c>
    </row>
    <row r="229" spans="1:16">
      <c r="A229" t="s">
        <v>483</v>
      </c>
      <c r="B229" t="s">
        <v>484</v>
      </c>
      <c r="C229" t="s">
        <v>39</v>
      </c>
      <c r="D229" t="s">
        <v>28</v>
      </c>
      <c r="E229" s="1">
        <v>42.06</v>
      </c>
      <c r="F229" s="1">
        <v>20.54</v>
      </c>
      <c r="G229" s="1">
        <v>21.52</v>
      </c>
      <c r="H229" s="2">
        <v>0.51170000000000004</v>
      </c>
      <c r="I229" t="s">
        <v>29</v>
      </c>
      <c r="J229" s="4">
        <v>36</v>
      </c>
      <c r="K229" s="4">
        <v>15</v>
      </c>
      <c r="L229" s="4">
        <v>448</v>
      </c>
      <c r="M229" s="4">
        <v>484</v>
      </c>
      <c r="N229" t="s">
        <v>30</v>
      </c>
      <c r="O229" t="s">
        <v>31</v>
      </c>
      <c r="P229" s="4" t="str">
        <f t="shared" si="3"/>
        <v>OK</v>
      </c>
    </row>
    <row r="230" spans="1:16">
      <c r="A230" t="s">
        <v>485</v>
      </c>
      <c r="B230" t="s">
        <v>486</v>
      </c>
      <c r="C230" t="s">
        <v>34</v>
      </c>
      <c r="D230" t="s">
        <v>28</v>
      </c>
      <c r="E230" s="1">
        <v>549</v>
      </c>
      <c r="F230" s="1">
        <v>228.99</v>
      </c>
      <c r="G230" s="1">
        <v>320.01</v>
      </c>
      <c r="H230" s="2">
        <v>0.58289999999999997</v>
      </c>
      <c r="I230" t="s">
        <v>29</v>
      </c>
      <c r="J230" s="4">
        <v>24</v>
      </c>
      <c r="K230" s="4">
        <v>15</v>
      </c>
      <c r="L230" s="4">
        <v>435</v>
      </c>
      <c r="M230" s="4">
        <v>459</v>
      </c>
      <c r="N230" t="s">
        <v>30</v>
      </c>
      <c r="O230" t="s">
        <v>31</v>
      </c>
      <c r="P230" s="4" t="str">
        <f t="shared" si="3"/>
        <v>OK</v>
      </c>
    </row>
    <row r="231" spans="1:16">
      <c r="A231" t="s">
        <v>487</v>
      </c>
      <c r="B231" t="s">
        <v>488</v>
      </c>
      <c r="C231" t="s">
        <v>34</v>
      </c>
      <c r="D231" t="s">
        <v>28</v>
      </c>
      <c r="E231" s="1">
        <v>249</v>
      </c>
      <c r="F231" s="1">
        <v>171.37</v>
      </c>
      <c r="G231" s="1">
        <v>77.63</v>
      </c>
      <c r="H231" s="2">
        <v>0.31180000000000002</v>
      </c>
      <c r="I231" t="s">
        <v>29</v>
      </c>
      <c r="J231" s="4">
        <v>9</v>
      </c>
      <c r="K231" s="4">
        <v>15</v>
      </c>
      <c r="L231" s="4">
        <v>83</v>
      </c>
      <c r="M231" s="4">
        <v>92</v>
      </c>
      <c r="N231" t="s">
        <v>73</v>
      </c>
      <c r="O231" t="s">
        <v>31</v>
      </c>
      <c r="P231" s="4" t="str">
        <f t="shared" si="3"/>
        <v>OK</v>
      </c>
    </row>
    <row r="232" spans="1:16">
      <c r="A232" t="s">
        <v>489</v>
      </c>
      <c r="B232" t="s">
        <v>490</v>
      </c>
      <c r="C232" t="s">
        <v>64</v>
      </c>
      <c r="D232" t="s">
        <v>28</v>
      </c>
      <c r="E232" s="1">
        <v>20.3</v>
      </c>
      <c r="F232" s="1">
        <v>13.3</v>
      </c>
      <c r="G232" s="1">
        <v>7</v>
      </c>
      <c r="H232" s="2">
        <v>0.3448</v>
      </c>
      <c r="I232" t="s">
        <v>29</v>
      </c>
      <c r="J232" s="4">
        <v>93</v>
      </c>
      <c r="K232" s="4">
        <v>15</v>
      </c>
      <c r="L232" s="4">
        <v>44</v>
      </c>
      <c r="M232" s="4">
        <v>137</v>
      </c>
      <c r="N232" t="s">
        <v>30</v>
      </c>
      <c r="O232" t="s">
        <v>31</v>
      </c>
      <c r="P232" s="4" t="str">
        <f t="shared" si="3"/>
        <v>OK</v>
      </c>
    </row>
    <row r="233" spans="1:16">
      <c r="A233" t="s">
        <v>491</v>
      </c>
      <c r="B233" t="s">
        <v>492</v>
      </c>
      <c r="C233" t="s">
        <v>78</v>
      </c>
      <c r="D233" t="s">
        <v>28</v>
      </c>
      <c r="E233" s="1">
        <v>66.81</v>
      </c>
      <c r="F233" s="1">
        <v>30</v>
      </c>
      <c r="G233" s="1">
        <v>36.81</v>
      </c>
      <c r="H233" s="2">
        <v>0.55100000000000005</v>
      </c>
      <c r="I233" t="s">
        <v>29</v>
      </c>
      <c r="J233" s="4">
        <v>75</v>
      </c>
      <c r="K233" s="4">
        <v>15</v>
      </c>
      <c r="L233" s="4">
        <v>50</v>
      </c>
      <c r="M233" s="4">
        <v>125</v>
      </c>
      <c r="N233" t="s">
        <v>30</v>
      </c>
      <c r="O233" t="s">
        <v>31</v>
      </c>
      <c r="P233" s="4" t="str">
        <f t="shared" si="3"/>
        <v>OK</v>
      </c>
    </row>
    <row r="234" spans="1:16">
      <c r="A234" t="s">
        <v>493</v>
      </c>
      <c r="B234" t="s">
        <v>494</v>
      </c>
      <c r="C234" t="s">
        <v>78</v>
      </c>
      <c r="D234" t="s">
        <v>28</v>
      </c>
      <c r="E234" s="1">
        <v>178.53</v>
      </c>
      <c r="F234" s="1">
        <v>65.319999999999993</v>
      </c>
      <c r="G234" s="1">
        <v>113.21</v>
      </c>
      <c r="H234" s="2">
        <v>0.6341</v>
      </c>
      <c r="I234" t="s">
        <v>29</v>
      </c>
      <c r="J234" s="4">
        <v>57</v>
      </c>
      <c r="K234" s="4">
        <v>15</v>
      </c>
      <c r="L234" s="4">
        <v>234</v>
      </c>
      <c r="M234" s="4">
        <v>291</v>
      </c>
      <c r="N234" t="s">
        <v>30</v>
      </c>
      <c r="O234" t="s">
        <v>31</v>
      </c>
      <c r="P234" s="4" t="str">
        <f t="shared" si="3"/>
        <v>OK</v>
      </c>
    </row>
    <row r="235" spans="1:16">
      <c r="A235" t="s">
        <v>495</v>
      </c>
      <c r="B235" t="s">
        <v>496</v>
      </c>
      <c r="C235" t="s">
        <v>39</v>
      </c>
      <c r="D235" t="s">
        <v>28</v>
      </c>
      <c r="E235" s="1">
        <v>25.09</v>
      </c>
      <c r="F235" s="1">
        <v>12.38</v>
      </c>
      <c r="G235" s="1">
        <v>12.71</v>
      </c>
      <c r="H235" s="2">
        <v>0.50659999999999994</v>
      </c>
      <c r="I235" t="s">
        <v>29</v>
      </c>
      <c r="J235" s="4">
        <v>28</v>
      </c>
      <c r="K235" s="4">
        <v>15</v>
      </c>
      <c r="L235" s="4">
        <v>102</v>
      </c>
      <c r="M235" s="4">
        <v>130</v>
      </c>
      <c r="N235" t="s">
        <v>30</v>
      </c>
      <c r="O235" t="s">
        <v>31</v>
      </c>
      <c r="P235" s="4" t="str">
        <f t="shared" si="3"/>
        <v>OK</v>
      </c>
    </row>
    <row r="236" spans="1:16">
      <c r="A236" t="s">
        <v>497</v>
      </c>
      <c r="B236" t="s">
        <v>498</v>
      </c>
      <c r="C236" t="s">
        <v>78</v>
      </c>
      <c r="D236" t="s">
        <v>28</v>
      </c>
      <c r="E236" s="1">
        <v>70.489999999999995</v>
      </c>
      <c r="F236" s="1">
        <v>42.12</v>
      </c>
      <c r="G236" s="1">
        <v>28.37</v>
      </c>
      <c r="H236" s="2">
        <v>0.40250000000000002</v>
      </c>
      <c r="I236" t="s">
        <v>29</v>
      </c>
      <c r="J236" s="4">
        <v>68</v>
      </c>
      <c r="K236" s="4">
        <v>15</v>
      </c>
      <c r="L236" s="4">
        <v>30</v>
      </c>
      <c r="M236" s="4">
        <v>98</v>
      </c>
      <c r="N236" t="s">
        <v>30</v>
      </c>
      <c r="O236" t="s">
        <v>31</v>
      </c>
      <c r="P236" s="4" t="str">
        <f t="shared" si="3"/>
        <v>OK</v>
      </c>
    </row>
    <row r="237" spans="1:16">
      <c r="A237" t="s">
        <v>499</v>
      </c>
      <c r="B237" t="s">
        <v>500</v>
      </c>
      <c r="C237" t="s">
        <v>78</v>
      </c>
      <c r="D237" t="s">
        <v>28</v>
      </c>
      <c r="E237" s="1">
        <v>140.97</v>
      </c>
      <c r="F237" s="1">
        <v>45.87</v>
      </c>
      <c r="G237" s="1">
        <v>95.1</v>
      </c>
      <c r="H237" s="2">
        <v>0.67459999999999998</v>
      </c>
      <c r="I237" t="s">
        <v>29</v>
      </c>
      <c r="J237" s="4">
        <v>92</v>
      </c>
      <c r="K237" s="4">
        <v>15</v>
      </c>
      <c r="L237" s="4">
        <v>58</v>
      </c>
      <c r="M237" s="4">
        <v>150</v>
      </c>
      <c r="N237" t="s">
        <v>30</v>
      </c>
      <c r="O237" t="s">
        <v>31</v>
      </c>
      <c r="P237" s="4" t="str">
        <f t="shared" si="3"/>
        <v>OK</v>
      </c>
    </row>
    <row r="238" spans="1:16">
      <c r="A238" t="s">
        <v>501</v>
      </c>
      <c r="B238" t="s">
        <v>502</v>
      </c>
      <c r="C238" t="s">
        <v>281</v>
      </c>
      <c r="D238" t="s">
        <v>28</v>
      </c>
      <c r="E238" s="1">
        <v>104.97</v>
      </c>
      <c r="F238" s="1">
        <v>53.28</v>
      </c>
      <c r="G238" s="1">
        <v>51.69</v>
      </c>
      <c r="H238" s="2">
        <v>0.4924</v>
      </c>
      <c r="I238" t="s">
        <v>29</v>
      </c>
      <c r="J238" s="4">
        <v>99</v>
      </c>
      <c r="K238" s="4">
        <v>15</v>
      </c>
      <c r="L238" s="4">
        <v>46</v>
      </c>
      <c r="M238" s="4">
        <v>145</v>
      </c>
      <c r="N238" t="s">
        <v>30</v>
      </c>
      <c r="O238" t="s">
        <v>31</v>
      </c>
      <c r="P238" s="4" t="str">
        <f t="shared" si="3"/>
        <v>OK</v>
      </c>
    </row>
    <row r="239" spans="1:16">
      <c r="A239" t="s">
        <v>503</v>
      </c>
      <c r="B239" t="s">
        <v>455</v>
      </c>
      <c r="C239" t="s">
        <v>78</v>
      </c>
      <c r="D239" t="s">
        <v>28</v>
      </c>
      <c r="E239" s="1">
        <v>16.04</v>
      </c>
      <c r="F239" s="1">
        <v>5.94</v>
      </c>
      <c r="G239" s="1">
        <v>10.1</v>
      </c>
      <c r="H239" s="2">
        <v>0.62970000000000004</v>
      </c>
      <c r="I239" t="s">
        <v>29</v>
      </c>
      <c r="J239" s="4">
        <v>10</v>
      </c>
      <c r="K239" s="4">
        <v>15</v>
      </c>
      <c r="L239" s="4">
        <v>21</v>
      </c>
      <c r="M239" s="4">
        <v>31</v>
      </c>
      <c r="N239" t="s">
        <v>73</v>
      </c>
      <c r="O239" t="s">
        <v>31</v>
      </c>
      <c r="P239" s="4" t="str">
        <f t="shared" si="3"/>
        <v>DUPLICATE</v>
      </c>
    </row>
    <row r="240" spans="1:16">
      <c r="A240" t="s">
        <v>504</v>
      </c>
      <c r="B240" t="s">
        <v>505</v>
      </c>
      <c r="C240" t="s">
        <v>78</v>
      </c>
      <c r="D240" t="s">
        <v>28</v>
      </c>
      <c r="E240" s="1">
        <v>53</v>
      </c>
      <c r="F240" s="1">
        <v>24.46</v>
      </c>
      <c r="G240" s="1">
        <v>28.54</v>
      </c>
      <c r="H240" s="2">
        <v>0.53849999999999998</v>
      </c>
      <c r="I240" t="s">
        <v>29</v>
      </c>
      <c r="J240" s="4">
        <v>29</v>
      </c>
      <c r="K240" s="4">
        <v>15</v>
      </c>
      <c r="L240" s="4">
        <v>489</v>
      </c>
      <c r="M240" s="4">
        <v>518</v>
      </c>
      <c r="N240" t="s">
        <v>30</v>
      </c>
      <c r="O240" t="s">
        <v>31</v>
      </c>
      <c r="P240" s="4" t="str">
        <f t="shared" si="3"/>
        <v>OK</v>
      </c>
    </row>
    <row r="241" spans="1:16">
      <c r="A241" t="s">
        <v>506</v>
      </c>
      <c r="B241" t="s">
        <v>507</v>
      </c>
      <c r="C241" t="s">
        <v>85</v>
      </c>
      <c r="D241" t="s">
        <v>28</v>
      </c>
      <c r="E241" s="1">
        <v>67.16</v>
      </c>
      <c r="F241" s="1">
        <v>44.69</v>
      </c>
      <c r="G241" s="1">
        <v>22.47</v>
      </c>
      <c r="H241" s="2">
        <v>0.33460000000000001</v>
      </c>
      <c r="I241" t="s">
        <v>29</v>
      </c>
      <c r="J241" s="4">
        <v>74</v>
      </c>
      <c r="K241" s="4">
        <v>15</v>
      </c>
      <c r="L241" s="4">
        <v>105</v>
      </c>
      <c r="M241" s="4">
        <v>179</v>
      </c>
      <c r="N241" t="s">
        <v>30</v>
      </c>
      <c r="O241" t="s">
        <v>31</v>
      </c>
      <c r="P241" s="4" t="str">
        <f t="shared" si="3"/>
        <v>OK</v>
      </c>
    </row>
    <row r="242" spans="1:16">
      <c r="A242" t="s">
        <v>508</v>
      </c>
      <c r="B242" t="s">
        <v>509</v>
      </c>
      <c r="C242" t="s">
        <v>78</v>
      </c>
      <c r="D242" t="s">
        <v>28</v>
      </c>
      <c r="E242" s="1">
        <v>36.83</v>
      </c>
      <c r="F242" s="1">
        <v>24.59</v>
      </c>
      <c r="G242" s="1">
        <v>12.24</v>
      </c>
      <c r="H242" s="2">
        <v>0.33229999999999998</v>
      </c>
      <c r="I242" t="s">
        <v>29</v>
      </c>
      <c r="J242" s="4">
        <v>31</v>
      </c>
      <c r="K242" s="4">
        <v>15</v>
      </c>
      <c r="L242" s="4">
        <v>0</v>
      </c>
      <c r="M242" s="4">
        <v>31</v>
      </c>
      <c r="N242" t="s">
        <v>30</v>
      </c>
      <c r="O242" t="s">
        <v>31</v>
      </c>
      <c r="P242" s="4" t="str">
        <f t="shared" si="3"/>
        <v>OK</v>
      </c>
    </row>
    <row r="243" spans="1:16">
      <c r="A243" t="s">
        <v>510</v>
      </c>
      <c r="B243" t="s">
        <v>511</v>
      </c>
      <c r="C243" t="s">
        <v>78</v>
      </c>
      <c r="D243" t="s">
        <v>28</v>
      </c>
      <c r="E243" s="1">
        <v>36.06</v>
      </c>
      <c r="F243" s="1">
        <v>23.55</v>
      </c>
      <c r="G243" s="1">
        <v>12.51</v>
      </c>
      <c r="H243" s="2">
        <v>0.34689999999999999</v>
      </c>
      <c r="I243" t="s">
        <v>29</v>
      </c>
      <c r="J243" s="4">
        <v>93</v>
      </c>
      <c r="K243" s="4">
        <v>15</v>
      </c>
      <c r="L243" s="4">
        <v>174</v>
      </c>
      <c r="M243" s="4">
        <v>267</v>
      </c>
      <c r="N243" t="s">
        <v>30</v>
      </c>
      <c r="O243" t="s">
        <v>31</v>
      </c>
      <c r="P243" s="4" t="str">
        <f t="shared" si="3"/>
        <v>OK</v>
      </c>
    </row>
    <row r="244" spans="1:16">
      <c r="A244" t="s">
        <v>512</v>
      </c>
      <c r="B244" t="s">
        <v>513</v>
      </c>
      <c r="C244" t="s">
        <v>122</v>
      </c>
      <c r="D244" t="s">
        <v>28</v>
      </c>
      <c r="E244" s="1">
        <v>26.94</v>
      </c>
      <c r="F244" s="1">
        <v>16.22</v>
      </c>
      <c r="G244" s="1">
        <v>10.72</v>
      </c>
      <c r="H244" s="2">
        <v>0.39789999999999998</v>
      </c>
      <c r="I244" t="s">
        <v>29</v>
      </c>
      <c r="J244" s="4">
        <v>30</v>
      </c>
      <c r="K244" s="4">
        <v>15</v>
      </c>
      <c r="L244" s="4">
        <v>45</v>
      </c>
      <c r="M244" s="4">
        <v>75</v>
      </c>
      <c r="N244" t="s">
        <v>30</v>
      </c>
      <c r="O244" t="s">
        <v>31</v>
      </c>
      <c r="P244" s="4" t="str">
        <f t="shared" si="3"/>
        <v>DUPLICATE</v>
      </c>
    </row>
    <row r="245" spans="1:16">
      <c r="A245" t="s">
        <v>514</v>
      </c>
      <c r="B245" t="s">
        <v>515</v>
      </c>
      <c r="C245" t="s">
        <v>78</v>
      </c>
      <c r="D245" t="s">
        <v>28</v>
      </c>
      <c r="E245" s="1">
        <v>84.52</v>
      </c>
      <c r="F245" s="1">
        <v>51.04</v>
      </c>
      <c r="G245" s="1">
        <v>33.479999999999997</v>
      </c>
      <c r="H245" s="2">
        <v>0.39610000000000001</v>
      </c>
      <c r="I245" t="s">
        <v>29</v>
      </c>
      <c r="J245" s="4">
        <v>92</v>
      </c>
      <c r="K245" s="4">
        <v>15</v>
      </c>
      <c r="L245" s="4">
        <v>149</v>
      </c>
      <c r="M245" s="4">
        <v>241</v>
      </c>
      <c r="N245" t="s">
        <v>30</v>
      </c>
      <c r="O245" t="s">
        <v>31</v>
      </c>
      <c r="P245" s="4" t="str">
        <f t="shared" si="3"/>
        <v>OK</v>
      </c>
    </row>
    <row r="246" spans="1:16">
      <c r="A246" t="s">
        <v>516</v>
      </c>
      <c r="B246" t="s">
        <v>517</v>
      </c>
      <c r="C246" t="s">
        <v>78</v>
      </c>
      <c r="D246" t="s">
        <v>28</v>
      </c>
      <c r="E246" s="1">
        <v>48.51</v>
      </c>
      <c r="F246" s="1">
        <v>21.7</v>
      </c>
      <c r="G246" s="1">
        <v>26.81</v>
      </c>
      <c r="H246" s="2">
        <v>0.55270000000000008</v>
      </c>
      <c r="I246" t="s">
        <v>29</v>
      </c>
      <c r="J246" s="4">
        <v>53</v>
      </c>
      <c r="K246" s="4">
        <v>15</v>
      </c>
      <c r="L246" s="4">
        <v>205</v>
      </c>
      <c r="M246" s="4">
        <v>258</v>
      </c>
      <c r="N246" t="s">
        <v>30</v>
      </c>
      <c r="O246" t="s">
        <v>31</v>
      </c>
      <c r="P246" s="4" t="str">
        <f t="shared" si="3"/>
        <v>OK</v>
      </c>
    </row>
    <row r="247" spans="1:16">
      <c r="A247" t="s">
        <v>518</v>
      </c>
      <c r="B247" t="s">
        <v>519</v>
      </c>
      <c r="C247" t="s">
        <v>34</v>
      </c>
      <c r="D247" t="s">
        <v>28</v>
      </c>
      <c r="E247" s="1">
        <v>80.45</v>
      </c>
      <c r="F247" s="1">
        <v>36.64</v>
      </c>
      <c r="G247" s="1">
        <v>43.81</v>
      </c>
      <c r="H247" s="2">
        <v>0.54459999999999997</v>
      </c>
      <c r="I247" t="s">
        <v>29</v>
      </c>
      <c r="J247" s="4">
        <v>40</v>
      </c>
      <c r="K247" s="4">
        <v>15</v>
      </c>
      <c r="L247" s="4">
        <v>117</v>
      </c>
      <c r="M247" s="4">
        <v>157</v>
      </c>
      <c r="N247" t="s">
        <v>30</v>
      </c>
      <c r="O247" t="s">
        <v>31</v>
      </c>
      <c r="P247" s="4" t="str">
        <f t="shared" si="3"/>
        <v>OK</v>
      </c>
    </row>
    <row r="248" spans="1:16">
      <c r="A248" t="s">
        <v>520</v>
      </c>
      <c r="B248" t="s">
        <v>521</v>
      </c>
      <c r="C248" t="s">
        <v>78</v>
      </c>
      <c r="D248" t="s">
        <v>28</v>
      </c>
      <c r="E248" s="1">
        <v>66.41</v>
      </c>
      <c r="F248" s="1">
        <v>44.27</v>
      </c>
      <c r="G248" s="1">
        <v>22.14</v>
      </c>
      <c r="H248" s="2">
        <v>0.33340000000000003</v>
      </c>
      <c r="I248" t="s">
        <v>29</v>
      </c>
      <c r="J248" s="4">
        <v>45</v>
      </c>
      <c r="K248" s="4">
        <v>15</v>
      </c>
      <c r="L248" s="4">
        <v>29</v>
      </c>
      <c r="M248" s="4">
        <v>74</v>
      </c>
      <c r="N248" t="s">
        <v>30</v>
      </c>
      <c r="O248" t="s">
        <v>31</v>
      </c>
      <c r="P248" s="4" t="str">
        <f t="shared" si="3"/>
        <v>OK</v>
      </c>
    </row>
    <row r="249" spans="1:16">
      <c r="A249" t="s">
        <v>522</v>
      </c>
      <c r="B249" t="s">
        <v>523</v>
      </c>
      <c r="C249" t="s">
        <v>78</v>
      </c>
      <c r="D249" t="s">
        <v>28</v>
      </c>
      <c r="E249" s="1">
        <v>58.09</v>
      </c>
      <c r="F249" s="1">
        <v>31.81</v>
      </c>
      <c r="G249" s="1">
        <v>26.28</v>
      </c>
      <c r="H249" s="2">
        <v>0.45240000000000002</v>
      </c>
      <c r="I249" t="s">
        <v>29</v>
      </c>
      <c r="J249" s="4">
        <v>67</v>
      </c>
      <c r="K249" s="4">
        <v>15</v>
      </c>
      <c r="L249" s="4">
        <v>56</v>
      </c>
      <c r="M249" s="4">
        <v>123</v>
      </c>
      <c r="N249" t="s">
        <v>30</v>
      </c>
      <c r="O249" t="s">
        <v>31</v>
      </c>
      <c r="P249" s="4" t="str">
        <f t="shared" si="3"/>
        <v>OK</v>
      </c>
    </row>
    <row r="250" spans="1:16">
      <c r="A250" t="s">
        <v>524</v>
      </c>
      <c r="B250" t="s">
        <v>525</v>
      </c>
      <c r="C250" t="s">
        <v>27</v>
      </c>
      <c r="D250" t="s">
        <v>28</v>
      </c>
      <c r="E250" s="1">
        <v>15.8</v>
      </c>
      <c r="F250" s="1">
        <v>11.33</v>
      </c>
      <c r="G250" s="1">
        <v>4.47</v>
      </c>
      <c r="H250" s="2">
        <v>0.28289999999999998</v>
      </c>
      <c r="I250" t="s">
        <v>29</v>
      </c>
      <c r="J250" s="4">
        <v>6</v>
      </c>
      <c r="K250" s="4">
        <v>15</v>
      </c>
      <c r="L250" s="4">
        <v>147</v>
      </c>
      <c r="M250" s="4">
        <v>153</v>
      </c>
      <c r="N250" t="s">
        <v>73</v>
      </c>
      <c r="O250" t="s">
        <v>31</v>
      </c>
      <c r="P250" s="4" t="str">
        <f t="shared" si="3"/>
        <v>OK</v>
      </c>
    </row>
    <row r="251" spans="1:16">
      <c r="A251" t="s">
        <v>526</v>
      </c>
      <c r="B251" t="s">
        <v>527</v>
      </c>
      <c r="C251" t="s">
        <v>78</v>
      </c>
      <c r="D251" t="s">
        <v>28</v>
      </c>
      <c r="E251" s="1">
        <v>31.53</v>
      </c>
      <c r="F251" s="1">
        <v>12.79</v>
      </c>
      <c r="G251" s="1">
        <v>18.739999999999998</v>
      </c>
      <c r="H251" s="2">
        <v>0.59439999999999993</v>
      </c>
      <c r="I251" t="s">
        <v>29</v>
      </c>
      <c r="J251" s="4">
        <v>74</v>
      </c>
      <c r="K251" s="4">
        <v>15</v>
      </c>
      <c r="L251" s="4">
        <v>285</v>
      </c>
      <c r="M251" s="4">
        <v>359</v>
      </c>
      <c r="N251" t="s">
        <v>30</v>
      </c>
      <c r="O251" t="s">
        <v>31</v>
      </c>
      <c r="P251" s="4" t="str">
        <f t="shared" si="3"/>
        <v>OK</v>
      </c>
    </row>
    <row r="252" spans="1:16">
      <c r="A252" t="s">
        <v>528</v>
      </c>
      <c r="B252" t="s">
        <v>529</v>
      </c>
      <c r="C252" t="s">
        <v>78</v>
      </c>
      <c r="D252" t="s">
        <v>28</v>
      </c>
      <c r="E252" s="1">
        <v>34.03</v>
      </c>
      <c r="F252" s="1">
        <v>22.35</v>
      </c>
      <c r="G252" s="1">
        <v>11.68</v>
      </c>
      <c r="H252" s="2">
        <v>0.34320000000000001</v>
      </c>
      <c r="I252" t="s">
        <v>29</v>
      </c>
      <c r="J252" s="4">
        <v>8</v>
      </c>
      <c r="K252" s="4">
        <v>15</v>
      </c>
      <c r="L252" s="4">
        <v>401</v>
      </c>
      <c r="M252" s="4">
        <v>409</v>
      </c>
      <c r="N252" t="s">
        <v>73</v>
      </c>
      <c r="O252" t="s">
        <v>31</v>
      </c>
      <c r="P252" s="4" t="str">
        <f t="shared" si="3"/>
        <v>OK</v>
      </c>
    </row>
    <row r="253" spans="1:16">
      <c r="A253" t="s">
        <v>530</v>
      </c>
      <c r="B253" t="s">
        <v>531</v>
      </c>
      <c r="C253" t="s">
        <v>39</v>
      </c>
      <c r="D253" t="s">
        <v>28</v>
      </c>
      <c r="E253" s="1">
        <v>56.13</v>
      </c>
      <c r="F253" s="1">
        <v>39.19</v>
      </c>
      <c r="G253" s="1">
        <v>16.940000000000001</v>
      </c>
      <c r="H253" s="2">
        <v>0.30180000000000001</v>
      </c>
      <c r="I253" t="s">
        <v>29</v>
      </c>
      <c r="J253" s="4">
        <v>92</v>
      </c>
      <c r="K253" s="4">
        <v>15</v>
      </c>
      <c r="L253" s="4">
        <v>458</v>
      </c>
      <c r="M253" s="4">
        <v>550</v>
      </c>
      <c r="N253" t="s">
        <v>30</v>
      </c>
      <c r="O253" t="s">
        <v>31</v>
      </c>
      <c r="P253" s="4" t="str">
        <f t="shared" si="3"/>
        <v>OK</v>
      </c>
    </row>
    <row r="254" spans="1:16">
      <c r="A254" t="s">
        <v>532</v>
      </c>
      <c r="B254" t="s">
        <v>533</v>
      </c>
      <c r="C254" t="s">
        <v>78</v>
      </c>
      <c r="D254" t="s">
        <v>28</v>
      </c>
      <c r="E254" s="1">
        <v>93.61</v>
      </c>
      <c r="F254" s="1">
        <v>60.41</v>
      </c>
      <c r="G254" s="1">
        <v>33.200000000000003</v>
      </c>
      <c r="H254" s="2">
        <v>0.35470000000000002</v>
      </c>
      <c r="I254" t="s">
        <v>29</v>
      </c>
      <c r="J254" s="4">
        <v>44</v>
      </c>
      <c r="K254" s="4">
        <v>15</v>
      </c>
      <c r="L254" s="4">
        <v>440</v>
      </c>
      <c r="M254" s="4">
        <v>484</v>
      </c>
      <c r="N254" t="s">
        <v>30</v>
      </c>
      <c r="O254" t="s">
        <v>31</v>
      </c>
      <c r="P254" s="4" t="str">
        <f t="shared" si="3"/>
        <v>OK</v>
      </c>
    </row>
    <row r="255" spans="1:16">
      <c r="A255" t="s">
        <v>534</v>
      </c>
      <c r="B255" t="s">
        <v>535</v>
      </c>
      <c r="C255" t="s">
        <v>78</v>
      </c>
      <c r="D255" t="s">
        <v>28</v>
      </c>
      <c r="E255" s="1">
        <v>42.86</v>
      </c>
      <c r="F255" s="1">
        <v>29.79</v>
      </c>
      <c r="G255" s="1">
        <v>13.07</v>
      </c>
      <c r="H255" s="2">
        <v>0.3049</v>
      </c>
      <c r="I255" t="s">
        <v>29</v>
      </c>
      <c r="J255" s="4">
        <v>89</v>
      </c>
      <c r="K255" s="4">
        <v>15</v>
      </c>
      <c r="L255" s="4">
        <v>278</v>
      </c>
      <c r="M255" s="4">
        <v>367</v>
      </c>
      <c r="N255" t="s">
        <v>30</v>
      </c>
      <c r="O255" t="s">
        <v>31</v>
      </c>
      <c r="P255" s="4" t="str">
        <f t="shared" si="3"/>
        <v>OK</v>
      </c>
    </row>
    <row r="256" spans="1:16">
      <c r="A256" t="s">
        <v>536</v>
      </c>
      <c r="B256" t="s">
        <v>537</v>
      </c>
      <c r="C256" t="s">
        <v>78</v>
      </c>
      <c r="D256" t="s">
        <v>28</v>
      </c>
      <c r="E256" s="1">
        <v>74.849999999999994</v>
      </c>
      <c r="F256" s="1">
        <v>31.32</v>
      </c>
      <c r="G256" s="1">
        <v>43.53</v>
      </c>
      <c r="H256" s="2">
        <v>0.58160000000000001</v>
      </c>
      <c r="I256" t="s">
        <v>29</v>
      </c>
      <c r="J256" s="4">
        <v>76</v>
      </c>
      <c r="K256" s="4">
        <v>15</v>
      </c>
      <c r="L256" s="4">
        <v>215</v>
      </c>
      <c r="M256" s="4">
        <v>291</v>
      </c>
      <c r="N256" t="s">
        <v>30</v>
      </c>
      <c r="O256" t="s">
        <v>31</v>
      </c>
      <c r="P256" s="4" t="str">
        <f t="shared" si="3"/>
        <v>OK</v>
      </c>
    </row>
    <row r="257" spans="1:16">
      <c r="A257" t="s">
        <v>538</v>
      </c>
      <c r="B257" t="s">
        <v>539</v>
      </c>
      <c r="C257" t="s">
        <v>64</v>
      </c>
      <c r="D257" t="s">
        <v>28</v>
      </c>
      <c r="E257" s="1">
        <v>41.11</v>
      </c>
      <c r="F257" s="1">
        <v>30.4</v>
      </c>
      <c r="G257" s="1">
        <v>10.71</v>
      </c>
      <c r="H257" s="2">
        <v>0.26050000000000001</v>
      </c>
      <c r="I257" t="s">
        <v>29</v>
      </c>
      <c r="J257" s="4">
        <v>71</v>
      </c>
      <c r="K257" s="4">
        <v>15</v>
      </c>
      <c r="L257" s="4">
        <v>284</v>
      </c>
      <c r="M257" s="4">
        <v>355</v>
      </c>
      <c r="N257" t="s">
        <v>30</v>
      </c>
      <c r="O257" t="s">
        <v>31</v>
      </c>
      <c r="P257" s="4" t="str">
        <f t="shared" si="3"/>
        <v>OK</v>
      </c>
    </row>
    <row r="258" spans="1:16">
      <c r="A258" t="s">
        <v>540</v>
      </c>
      <c r="B258" t="s">
        <v>541</v>
      </c>
      <c r="C258" t="s">
        <v>64</v>
      </c>
      <c r="D258" t="s">
        <v>28</v>
      </c>
      <c r="E258" s="1">
        <v>42.71</v>
      </c>
      <c r="F258" s="1">
        <v>19.88</v>
      </c>
      <c r="G258" s="1">
        <v>22.83</v>
      </c>
      <c r="H258" s="2">
        <v>0.53449999999999998</v>
      </c>
      <c r="I258" t="s">
        <v>29</v>
      </c>
      <c r="J258" s="4">
        <v>75</v>
      </c>
      <c r="K258" s="4">
        <v>15</v>
      </c>
      <c r="L258" s="4">
        <v>320</v>
      </c>
      <c r="M258" s="4">
        <v>395</v>
      </c>
      <c r="N258" t="s">
        <v>30</v>
      </c>
      <c r="O258" t="s">
        <v>31</v>
      </c>
      <c r="P258" s="4" t="str">
        <f t="shared" ref="P258:P321" si="4">IF(COUNTIF($B$2:$B$506, B258)&gt;1, "DUPLICATE", "OK")</f>
        <v>DUPLICATE</v>
      </c>
    </row>
    <row r="259" spans="1:16">
      <c r="A259" t="s">
        <v>542</v>
      </c>
      <c r="B259" t="s">
        <v>543</v>
      </c>
      <c r="C259" t="s">
        <v>85</v>
      </c>
      <c r="D259" t="s">
        <v>28</v>
      </c>
      <c r="E259" s="1">
        <v>73.599999999999994</v>
      </c>
      <c r="F259" s="1">
        <v>26.39</v>
      </c>
      <c r="G259" s="1">
        <v>47.21</v>
      </c>
      <c r="H259" s="2">
        <v>0.64139999999999997</v>
      </c>
      <c r="I259" t="s">
        <v>29</v>
      </c>
      <c r="J259" s="4">
        <v>87</v>
      </c>
      <c r="K259" s="4">
        <v>15</v>
      </c>
      <c r="L259" s="4">
        <v>213</v>
      </c>
      <c r="M259" s="4">
        <v>300</v>
      </c>
      <c r="N259" t="s">
        <v>30</v>
      </c>
      <c r="O259" t="s">
        <v>31</v>
      </c>
      <c r="P259" s="4" t="str">
        <f t="shared" si="4"/>
        <v>OK</v>
      </c>
    </row>
    <row r="260" spans="1:16">
      <c r="A260" t="s">
        <v>544</v>
      </c>
      <c r="B260" t="s">
        <v>545</v>
      </c>
      <c r="C260" t="s">
        <v>64</v>
      </c>
      <c r="D260" t="s">
        <v>28</v>
      </c>
      <c r="E260" s="1">
        <v>182.88</v>
      </c>
      <c r="F260" s="1">
        <v>127.02</v>
      </c>
      <c r="G260" s="1">
        <v>55.86</v>
      </c>
      <c r="H260" s="2">
        <v>0.3054</v>
      </c>
      <c r="I260" t="s">
        <v>29</v>
      </c>
      <c r="J260" s="4">
        <v>52</v>
      </c>
      <c r="K260" s="4">
        <v>15</v>
      </c>
      <c r="L260" s="4">
        <v>308</v>
      </c>
      <c r="M260" s="4">
        <v>360</v>
      </c>
      <c r="N260" t="s">
        <v>30</v>
      </c>
      <c r="O260" t="s">
        <v>31</v>
      </c>
      <c r="P260" s="4" t="str">
        <f t="shared" si="4"/>
        <v>OK</v>
      </c>
    </row>
    <row r="261" spans="1:16">
      <c r="A261" t="s">
        <v>546</v>
      </c>
      <c r="B261" t="s">
        <v>547</v>
      </c>
      <c r="C261" t="s">
        <v>64</v>
      </c>
      <c r="D261" t="s">
        <v>28</v>
      </c>
      <c r="E261" s="1">
        <v>64.13</v>
      </c>
      <c r="F261" s="1">
        <v>27.59</v>
      </c>
      <c r="G261" s="1">
        <v>36.54</v>
      </c>
      <c r="H261" s="2">
        <v>0.56979999999999997</v>
      </c>
      <c r="I261" t="s">
        <v>29</v>
      </c>
      <c r="J261" s="4">
        <v>52</v>
      </c>
      <c r="K261" s="4">
        <v>15</v>
      </c>
      <c r="L261" s="4">
        <v>160</v>
      </c>
      <c r="M261" s="4">
        <v>212</v>
      </c>
      <c r="N261" t="s">
        <v>30</v>
      </c>
      <c r="O261" t="s">
        <v>31</v>
      </c>
      <c r="P261" s="4" t="str">
        <f t="shared" si="4"/>
        <v>OK</v>
      </c>
    </row>
    <row r="262" spans="1:16">
      <c r="A262" t="s">
        <v>548</v>
      </c>
      <c r="B262" t="s">
        <v>549</v>
      </c>
      <c r="C262" t="s">
        <v>64</v>
      </c>
      <c r="D262" t="s">
        <v>28</v>
      </c>
      <c r="E262" s="1">
        <v>56.33</v>
      </c>
      <c r="F262" s="1">
        <v>34.4</v>
      </c>
      <c r="G262" s="1">
        <v>21.93</v>
      </c>
      <c r="H262" s="2">
        <v>0.38929999999999998</v>
      </c>
      <c r="I262" t="s">
        <v>29</v>
      </c>
      <c r="J262" s="4">
        <v>5</v>
      </c>
      <c r="K262" s="4">
        <v>15</v>
      </c>
      <c r="L262" s="4">
        <v>1</v>
      </c>
      <c r="M262" s="4">
        <v>6</v>
      </c>
      <c r="N262" t="s">
        <v>73</v>
      </c>
      <c r="O262" t="s">
        <v>31</v>
      </c>
      <c r="P262" s="4" t="str">
        <f t="shared" si="4"/>
        <v>OK</v>
      </c>
    </row>
    <row r="263" spans="1:16">
      <c r="A263" t="s">
        <v>550</v>
      </c>
      <c r="B263" t="s">
        <v>551</v>
      </c>
      <c r="C263" t="s">
        <v>64</v>
      </c>
      <c r="D263" t="s">
        <v>28</v>
      </c>
      <c r="E263" s="1">
        <v>44</v>
      </c>
      <c r="F263" s="1">
        <v>29.05</v>
      </c>
      <c r="G263" s="1">
        <v>14.95</v>
      </c>
      <c r="H263" s="2">
        <v>0.33979999999999999</v>
      </c>
      <c r="I263" t="s">
        <v>29</v>
      </c>
      <c r="J263" s="4">
        <v>46</v>
      </c>
      <c r="K263" s="4">
        <v>15</v>
      </c>
      <c r="L263" s="4">
        <v>259</v>
      </c>
      <c r="M263" s="4">
        <v>305</v>
      </c>
      <c r="N263" t="s">
        <v>30</v>
      </c>
      <c r="O263" t="s">
        <v>31</v>
      </c>
      <c r="P263" s="4" t="str">
        <f t="shared" si="4"/>
        <v>OK</v>
      </c>
    </row>
    <row r="264" spans="1:16">
      <c r="A264" t="s">
        <v>552</v>
      </c>
      <c r="B264" t="s">
        <v>553</v>
      </c>
      <c r="C264" t="s">
        <v>64</v>
      </c>
      <c r="D264" t="s">
        <v>28</v>
      </c>
      <c r="E264" s="1">
        <v>96.19</v>
      </c>
      <c r="F264" s="1">
        <v>61.7</v>
      </c>
      <c r="G264" s="1">
        <v>34.49</v>
      </c>
      <c r="H264" s="2">
        <v>0.35859999999999997</v>
      </c>
      <c r="I264" t="s">
        <v>29</v>
      </c>
      <c r="J264" s="4">
        <v>34</v>
      </c>
      <c r="K264" s="4">
        <v>15</v>
      </c>
      <c r="L264" s="4">
        <v>331</v>
      </c>
      <c r="M264" s="4">
        <v>365</v>
      </c>
      <c r="N264" t="s">
        <v>30</v>
      </c>
      <c r="O264" t="s">
        <v>31</v>
      </c>
      <c r="P264" s="4" t="str">
        <f t="shared" si="4"/>
        <v>OK</v>
      </c>
    </row>
    <row r="265" spans="1:16">
      <c r="A265" t="s">
        <v>554</v>
      </c>
      <c r="B265" t="s">
        <v>555</v>
      </c>
      <c r="C265" t="s">
        <v>281</v>
      </c>
      <c r="D265" t="s">
        <v>28</v>
      </c>
      <c r="E265" s="1">
        <v>411.92</v>
      </c>
      <c r="F265" s="1">
        <v>175.47</v>
      </c>
      <c r="G265" s="1">
        <v>236.45</v>
      </c>
      <c r="H265" s="2">
        <v>0.57399999999999995</v>
      </c>
      <c r="I265" t="s">
        <v>29</v>
      </c>
      <c r="J265" s="4">
        <v>68</v>
      </c>
      <c r="K265" s="4">
        <v>15</v>
      </c>
      <c r="L265" s="4">
        <v>193</v>
      </c>
      <c r="M265" s="4">
        <v>261</v>
      </c>
      <c r="N265" t="s">
        <v>30</v>
      </c>
      <c r="O265" t="s">
        <v>31</v>
      </c>
      <c r="P265" s="4" t="str">
        <f t="shared" si="4"/>
        <v>OK</v>
      </c>
    </row>
    <row r="266" spans="1:16">
      <c r="A266" t="s">
        <v>556</v>
      </c>
      <c r="B266" t="s">
        <v>557</v>
      </c>
      <c r="C266" t="s">
        <v>64</v>
      </c>
      <c r="D266" t="s">
        <v>28</v>
      </c>
      <c r="E266" s="1">
        <v>30.93</v>
      </c>
      <c r="F266" s="1">
        <v>19.3</v>
      </c>
      <c r="G266" s="1">
        <v>11.63</v>
      </c>
      <c r="H266" s="2">
        <v>0.376</v>
      </c>
      <c r="I266" t="s">
        <v>29</v>
      </c>
      <c r="J266" s="4">
        <v>55</v>
      </c>
      <c r="K266" s="4">
        <v>15</v>
      </c>
      <c r="L266" s="4">
        <v>312</v>
      </c>
      <c r="M266" s="4">
        <v>367</v>
      </c>
      <c r="N266" t="s">
        <v>30</v>
      </c>
      <c r="O266" t="s">
        <v>31</v>
      </c>
      <c r="P266" s="4" t="str">
        <f t="shared" si="4"/>
        <v>OK</v>
      </c>
    </row>
    <row r="267" spans="1:16">
      <c r="A267" t="s">
        <v>558</v>
      </c>
      <c r="B267" t="s">
        <v>559</v>
      </c>
      <c r="C267" t="s">
        <v>64</v>
      </c>
      <c r="D267" t="s">
        <v>28</v>
      </c>
      <c r="E267" s="1">
        <v>104.23</v>
      </c>
      <c r="F267" s="1">
        <v>46.54</v>
      </c>
      <c r="G267" s="1">
        <v>57.69</v>
      </c>
      <c r="H267" s="2">
        <v>0.55349999999999999</v>
      </c>
      <c r="I267" t="s">
        <v>29</v>
      </c>
      <c r="J267" s="4">
        <v>72</v>
      </c>
      <c r="K267" s="4">
        <v>15</v>
      </c>
      <c r="L267" s="4">
        <v>440</v>
      </c>
      <c r="M267" s="4">
        <v>512</v>
      </c>
      <c r="N267" t="s">
        <v>30</v>
      </c>
      <c r="O267" t="s">
        <v>31</v>
      </c>
      <c r="P267" s="4" t="str">
        <f t="shared" si="4"/>
        <v>OK</v>
      </c>
    </row>
    <row r="268" spans="1:16">
      <c r="A268" t="s">
        <v>560</v>
      </c>
      <c r="B268" t="s">
        <v>561</v>
      </c>
      <c r="C268" t="s">
        <v>64</v>
      </c>
      <c r="D268" t="s">
        <v>28</v>
      </c>
      <c r="E268" s="1">
        <v>59.03</v>
      </c>
      <c r="F268" s="1">
        <v>20.49</v>
      </c>
      <c r="G268" s="1">
        <v>38.54</v>
      </c>
      <c r="H268" s="2">
        <v>0.65290000000000004</v>
      </c>
      <c r="I268" t="s">
        <v>29</v>
      </c>
      <c r="J268" s="4">
        <v>4</v>
      </c>
      <c r="K268" s="4">
        <v>15</v>
      </c>
      <c r="L268" s="4">
        <v>305</v>
      </c>
      <c r="M268" s="4">
        <v>309</v>
      </c>
      <c r="N268" t="s">
        <v>73</v>
      </c>
      <c r="O268" t="s">
        <v>31</v>
      </c>
      <c r="P268" s="4" t="str">
        <f t="shared" si="4"/>
        <v>OK</v>
      </c>
    </row>
    <row r="269" spans="1:16">
      <c r="A269" t="s">
        <v>562</v>
      </c>
      <c r="B269" t="s">
        <v>563</v>
      </c>
      <c r="C269" t="s">
        <v>64</v>
      </c>
      <c r="D269" t="s">
        <v>28</v>
      </c>
      <c r="E269" s="1">
        <v>31.86</v>
      </c>
      <c r="F269" s="1">
        <v>23.27</v>
      </c>
      <c r="G269" s="1">
        <v>8.59</v>
      </c>
      <c r="H269" s="2">
        <v>0.26960000000000001</v>
      </c>
      <c r="I269" t="s">
        <v>29</v>
      </c>
      <c r="J269" s="4">
        <v>59</v>
      </c>
      <c r="K269" s="4">
        <v>15</v>
      </c>
      <c r="L269" s="4">
        <v>273</v>
      </c>
      <c r="M269" s="4">
        <v>332</v>
      </c>
      <c r="N269" t="s">
        <v>30</v>
      </c>
      <c r="O269" t="s">
        <v>31</v>
      </c>
      <c r="P269" s="4" t="str">
        <f t="shared" si="4"/>
        <v>OK</v>
      </c>
    </row>
    <row r="270" spans="1:16">
      <c r="A270" t="s">
        <v>564</v>
      </c>
      <c r="B270" t="s">
        <v>565</v>
      </c>
      <c r="C270" t="s">
        <v>64</v>
      </c>
      <c r="D270" t="s">
        <v>28</v>
      </c>
      <c r="E270" s="1">
        <v>32.28</v>
      </c>
      <c r="F270" s="1">
        <v>12.57</v>
      </c>
      <c r="G270" s="1">
        <v>19.71</v>
      </c>
      <c r="H270" s="2">
        <v>0.61060000000000003</v>
      </c>
      <c r="I270" t="s">
        <v>29</v>
      </c>
      <c r="J270" s="4">
        <v>77</v>
      </c>
      <c r="K270" s="4">
        <v>15</v>
      </c>
      <c r="L270" s="4">
        <v>325</v>
      </c>
      <c r="M270" s="4">
        <v>402</v>
      </c>
      <c r="N270" t="s">
        <v>30</v>
      </c>
      <c r="O270" t="s">
        <v>31</v>
      </c>
      <c r="P270" s="4" t="str">
        <f t="shared" si="4"/>
        <v>OK</v>
      </c>
    </row>
    <row r="271" spans="1:16">
      <c r="A271" t="s">
        <v>566</v>
      </c>
      <c r="B271" t="s">
        <v>567</v>
      </c>
      <c r="C271" t="s">
        <v>122</v>
      </c>
      <c r="D271" t="s">
        <v>28</v>
      </c>
      <c r="E271" s="1">
        <v>15.63</v>
      </c>
      <c r="F271" s="1">
        <v>9.56</v>
      </c>
      <c r="G271" s="1">
        <v>6.07</v>
      </c>
      <c r="H271" s="2">
        <v>0.38840000000000002</v>
      </c>
      <c r="I271" t="s">
        <v>29</v>
      </c>
      <c r="J271" s="4">
        <v>24</v>
      </c>
      <c r="K271" s="4">
        <v>15</v>
      </c>
      <c r="L271" s="4">
        <v>98</v>
      </c>
      <c r="M271" s="4">
        <v>122</v>
      </c>
      <c r="N271" t="s">
        <v>30</v>
      </c>
      <c r="O271" t="s">
        <v>31</v>
      </c>
      <c r="P271" s="4" t="str">
        <f t="shared" si="4"/>
        <v>OK</v>
      </c>
    </row>
    <row r="272" spans="1:16">
      <c r="A272" t="s">
        <v>568</v>
      </c>
      <c r="B272" t="s">
        <v>569</v>
      </c>
      <c r="C272" t="s">
        <v>64</v>
      </c>
      <c r="D272" t="s">
        <v>28</v>
      </c>
      <c r="E272" s="1">
        <v>39.46</v>
      </c>
      <c r="F272" s="1">
        <v>15.48</v>
      </c>
      <c r="G272" s="1">
        <v>23.98</v>
      </c>
      <c r="H272" s="2">
        <v>0.60770000000000002</v>
      </c>
      <c r="I272" t="s">
        <v>29</v>
      </c>
      <c r="J272" s="4">
        <v>61</v>
      </c>
      <c r="K272" s="4">
        <v>15</v>
      </c>
      <c r="L272" s="4">
        <v>183</v>
      </c>
      <c r="M272" s="4">
        <v>244</v>
      </c>
      <c r="N272" t="s">
        <v>30</v>
      </c>
      <c r="O272" t="s">
        <v>31</v>
      </c>
      <c r="P272" s="4" t="str">
        <f t="shared" si="4"/>
        <v>OK</v>
      </c>
    </row>
    <row r="273" spans="1:16">
      <c r="A273" t="s">
        <v>570</v>
      </c>
      <c r="B273" t="s">
        <v>571</v>
      </c>
      <c r="C273" t="s">
        <v>64</v>
      </c>
      <c r="D273" t="s">
        <v>28</v>
      </c>
      <c r="E273" s="1">
        <v>60.09</v>
      </c>
      <c r="F273" s="1">
        <v>29.58</v>
      </c>
      <c r="G273" s="1">
        <v>30.51</v>
      </c>
      <c r="H273" s="2">
        <v>0.50770000000000004</v>
      </c>
      <c r="I273" t="s">
        <v>29</v>
      </c>
      <c r="J273" s="4">
        <v>57</v>
      </c>
      <c r="K273" s="4">
        <v>15</v>
      </c>
      <c r="L273" s="4">
        <v>246</v>
      </c>
      <c r="M273" s="4">
        <v>303</v>
      </c>
      <c r="N273" t="s">
        <v>30</v>
      </c>
      <c r="O273" t="s">
        <v>31</v>
      </c>
      <c r="P273" s="4" t="str">
        <f t="shared" si="4"/>
        <v>OK</v>
      </c>
    </row>
    <row r="274" spans="1:16">
      <c r="A274" t="s">
        <v>572</v>
      </c>
      <c r="B274" t="s">
        <v>573</v>
      </c>
      <c r="C274" t="s">
        <v>281</v>
      </c>
      <c r="D274" t="s">
        <v>28</v>
      </c>
      <c r="E274" s="1">
        <v>31.88</v>
      </c>
      <c r="F274" s="1">
        <v>13.63</v>
      </c>
      <c r="G274" s="1">
        <v>18.25</v>
      </c>
      <c r="H274" s="2">
        <v>0.57250000000000001</v>
      </c>
      <c r="I274" t="s">
        <v>29</v>
      </c>
      <c r="J274" s="4">
        <v>43</v>
      </c>
      <c r="K274" s="4">
        <v>15</v>
      </c>
      <c r="L274" s="4">
        <v>455</v>
      </c>
      <c r="M274" s="4">
        <v>498</v>
      </c>
      <c r="N274" t="s">
        <v>30</v>
      </c>
      <c r="O274" t="s">
        <v>31</v>
      </c>
      <c r="P274" s="4" t="str">
        <f t="shared" si="4"/>
        <v>OK</v>
      </c>
    </row>
    <row r="275" spans="1:16">
      <c r="A275" t="s">
        <v>574</v>
      </c>
      <c r="B275" t="s">
        <v>575</v>
      </c>
      <c r="C275" t="s">
        <v>64</v>
      </c>
      <c r="D275" t="s">
        <v>28</v>
      </c>
      <c r="E275" s="1">
        <v>60.65</v>
      </c>
      <c r="F275" s="1">
        <v>33.28</v>
      </c>
      <c r="G275" s="1">
        <v>27.37</v>
      </c>
      <c r="H275" s="2">
        <v>0.45130000000000003</v>
      </c>
      <c r="I275" t="s">
        <v>29</v>
      </c>
      <c r="J275" s="4">
        <v>40</v>
      </c>
      <c r="K275" s="4">
        <v>15</v>
      </c>
      <c r="L275" s="4">
        <v>278</v>
      </c>
      <c r="M275" s="4">
        <v>318</v>
      </c>
      <c r="N275" t="s">
        <v>30</v>
      </c>
      <c r="O275" t="s">
        <v>31</v>
      </c>
      <c r="P275" s="4" t="str">
        <f t="shared" si="4"/>
        <v>OK</v>
      </c>
    </row>
    <row r="276" spans="1:16">
      <c r="A276" t="s">
        <v>576</v>
      </c>
      <c r="B276" t="s">
        <v>577</v>
      </c>
      <c r="C276" t="s">
        <v>64</v>
      </c>
      <c r="D276" t="s">
        <v>28</v>
      </c>
      <c r="E276" s="1">
        <v>64.11</v>
      </c>
      <c r="F276" s="1">
        <v>23.95</v>
      </c>
      <c r="G276" s="1">
        <v>40.159999999999997</v>
      </c>
      <c r="H276" s="2">
        <v>0.62639999999999996</v>
      </c>
      <c r="I276" t="s">
        <v>29</v>
      </c>
      <c r="J276" s="4">
        <v>96</v>
      </c>
      <c r="K276" s="4">
        <v>15</v>
      </c>
      <c r="L276" s="4">
        <v>13</v>
      </c>
      <c r="M276" s="4">
        <v>109</v>
      </c>
      <c r="N276" t="s">
        <v>30</v>
      </c>
      <c r="O276" t="s">
        <v>31</v>
      </c>
      <c r="P276" s="4" t="str">
        <f t="shared" si="4"/>
        <v>OK</v>
      </c>
    </row>
    <row r="277" spans="1:16">
      <c r="A277" t="s">
        <v>578</v>
      </c>
      <c r="B277" t="s">
        <v>579</v>
      </c>
      <c r="C277" t="s">
        <v>122</v>
      </c>
      <c r="D277" t="s">
        <v>28</v>
      </c>
      <c r="E277" s="1">
        <v>124.69</v>
      </c>
      <c r="F277" s="1">
        <v>52.02</v>
      </c>
      <c r="G277" s="1">
        <v>72.67</v>
      </c>
      <c r="H277" s="2">
        <v>0.58279999999999998</v>
      </c>
      <c r="I277" t="s">
        <v>29</v>
      </c>
      <c r="J277" s="4">
        <v>93</v>
      </c>
      <c r="K277" s="4">
        <v>15</v>
      </c>
      <c r="L277" s="4">
        <v>15</v>
      </c>
      <c r="M277" s="4">
        <v>108</v>
      </c>
      <c r="N277" t="s">
        <v>30</v>
      </c>
      <c r="O277" t="s">
        <v>31</v>
      </c>
      <c r="P277" s="4" t="str">
        <f t="shared" si="4"/>
        <v>OK</v>
      </c>
    </row>
    <row r="278" spans="1:16">
      <c r="A278" t="s">
        <v>580</v>
      </c>
      <c r="B278" t="s">
        <v>581</v>
      </c>
      <c r="C278" t="s">
        <v>64</v>
      </c>
      <c r="D278" t="s">
        <v>28</v>
      </c>
      <c r="E278" s="1">
        <v>22.5</v>
      </c>
      <c r="F278" s="1">
        <v>14.49</v>
      </c>
      <c r="G278" s="1">
        <v>8.01</v>
      </c>
      <c r="H278" s="2">
        <v>0.35600000000000004</v>
      </c>
      <c r="I278" t="s">
        <v>29</v>
      </c>
      <c r="J278" s="4">
        <v>86</v>
      </c>
      <c r="K278" s="4">
        <v>15</v>
      </c>
      <c r="L278" s="4">
        <v>461</v>
      </c>
      <c r="M278" s="4">
        <v>547</v>
      </c>
      <c r="N278" t="s">
        <v>30</v>
      </c>
      <c r="O278" t="s">
        <v>31</v>
      </c>
      <c r="P278" s="4" t="str">
        <f t="shared" si="4"/>
        <v>OK</v>
      </c>
    </row>
    <row r="279" spans="1:16">
      <c r="A279" t="s">
        <v>582</v>
      </c>
      <c r="B279" t="s">
        <v>583</v>
      </c>
      <c r="C279" t="s">
        <v>64</v>
      </c>
      <c r="D279" t="s">
        <v>28</v>
      </c>
      <c r="E279" s="1">
        <v>37.29</v>
      </c>
      <c r="F279" s="1">
        <v>21.68</v>
      </c>
      <c r="G279" s="1">
        <v>15.61</v>
      </c>
      <c r="H279" s="2">
        <v>0.41859999999999997</v>
      </c>
      <c r="I279" t="s">
        <v>29</v>
      </c>
      <c r="J279" s="4">
        <v>83</v>
      </c>
      <c r="K279" s="4">
        <v>15</v>
      </c>
      <c r="L279" s="4">
        <v>82</v>
      </c>
      <c r="M279" s="4">
        <v>165</v>
      </c>
      <c r="N279" t="s">
        <v>30</v>
      </c>
      <c r="O279" t="s">
        <v>31</v>
      </c>
      <c r="P279" s="4" t="str">
        <f t="shared" si="4"/>
        <v>OK</v>
      </c>
    </row>
    <row r="280" spans="1:16">
      <c r="A280" t="s">
        <v>584</v>
      </c>
      <c r="B280" t="s">
        <v>585</v>
      </c>
      <c r="C280" t="s">
        <v>122</v>
      </c>
      <c r="D280" t="s">
        <v>28</v>
      </c>
      <c r="E280" s="1">
        <v>60.94</v>
      </c>
      <c r="F280" s="1">
        <v>39.67</v>
      </c>
      <c r="G280" s="1">
        <v>21.27</v>
      </c>
      <c r="H280" s="2">
        <v>0.34899999999999998</v>
      </c>
      <c r="I280" t="s">
        <v>29</v>
      </c>
      <c r="J280" s="4">
        <v>39</v>
      </c>
      <c r="K280" s="4">
        <v>15</v>
      </c>
      <c r="L280" s="4">
        <v>187</v>
      </c>
      <c r="M280" s="4">
        <v>226</v>
      </c>
      <c r="N280" t="s">
        <v>30</v>
      </c>
      <c r="O280" t="s">
        <v>31</v>
      </c>
      <c r="P280" s="4" t="str">
        <f t="shared" si="4"/>
        <v>OK</v>
      </c>
    </row>
    <row r="281" spans="1:16">
      <c r="A281" t="s">
        <v>586</v>
      </c>
      <c r="B281" t="s">
        <v>587</v>
      </c>
      <c r="C281" t="s">
        <v>64</v>
      </c>
      <c r="D281" t="s">
        <v>28</v>
      </c>
      <c r="E281" s="1">
        <v>19.71</v>
      </c>
      <c r="F281" s="1">
        <v>7.55</v>
      </c>
      <c r="G281" s="1">
        <v>12.16</v>
      </c>
      <c r="H281" s="2">
        <v>0.6169</v>
      </c>
      <c r="I281" t="s">
        <v>29</v>
      </c>
      <c r="J281" s="4">
        <v>53</v>
      </c>
      <c r="K281" s="4">
        <v>15</v>
      </c>
      <c r="L281" s="4">
        <v>69</v>
      </c>
      <c r="M281" s="4">
        <v>122</v>
      </c>
      <c r="N281" t="s">
        <v>30</v>
      </c>
      <c r="O281" t="s">
        <v>31</v>
      </c>
      <c r="P281" s="4" t="str">
        <f t="shared" si="4"/>
        <v>OK</v>
      </c>
    </row>
    <row r="282" spans="1:16">
      <c r="A282" t="s">
        <v>588</v>
      </c>
      <c r="B282" t="s">
        <v>589</v>
      </c>
      <c r="C282" t="s">
        <v>122</v>
      </c>
      <c r="D282" t="s">
        <v>28</v>
      </c>
      <c r="E282" s="1">
        <v>47.62</v>
      </c>
      <c r="F282" s="1">
        <v>35.71</v>
      </c>
      <c r="G282" s="1">
        <v>11.91</v>
      </c>
      <c r="H282" s="2">
        <v>0.25009999999999999</v>
      </c>
      <c r="I282" t="s">
        <v>29</v>
      </c>
      <c r="J282" s="4">
        <v>93</v>
      </c>
      <c r="K282" s="4">
        <v>15</v>
      </c>
      <c r="L282" s="4">
        <v>309</v>
      </c>
      <c r="M282" s="4">
        <v>402</v>
      </c>
      <c r="N282" t="s">
        <v>30</v>
      </c>
      <c r="O282" t="s">
        <v>31</v>
      </c>
      <c r="P282" s="4" t="str">
        <f t="shared" si="4"/>
        <v>OK</v>
      </c>
    </row>
    <row r="283" spans="1:16">
      <c r="A283" t="s">
        <v>590</v>
      </c>
      <c r="B283" t="s">
        <v>591</v>
      </c>
      <c r="C283" t="s">
        <v>122</v>
      </c>
      <c r="D283" t="s">
        <v>28</v>
      </c>
      <c r="E283" s="1">
        <v>62.06</v>
      </c>
      <c r="F283" s="1">
        <v>21.45</v>
      </c>
      <c r="G283" s="1">
        <v>40.61</v>
      </c>
      <c r="H283" s="2">
        <v>0.65439999999999998</v>
      </c>
      <c r="I283" t="s">
        <v>29</v>
      </c>
      <c r="J283" s="4">
        <v>97</v>
      </c>
      <c r="K283" s="4">
        <v>15</v>
      </c>
      <c r="L283" s="4">
        <v>62</v>
      </c>
      <c r="M283" s="4">
        <v>159</v>
      </c>
      <c r="N283" t="s">
        <v>30</v>
      </c>
      <c r="O283" t="s">
        <v>31</v>
      </c>
      <c r="P283" s="4" t="str">
        <f t="shared" si="4"/>
        <v>OK</v>
      </c>
    </row>
    <row r="284" spans="1:16">
      <c r="A284" t="s">
        <v>592</v>
      </c>
      <c r="B284" t="s">
        <v>194</v>
      </c>
      <c r="C284" t="s">
        <v>122</v>
      </c>
      <c r="D284" t="s">
        <v>28</v>
      </c>
      <c r="E284" s="1">
        <v>61.78</v>
      </c>
      <c r="F284" s="1">
        <v>43.35</v>
      </c>
      <c r="G284" s="1">
        <v>18.43</v>
      </c>
      <c r="H284" s="2">
        <v>0.29830000000000001</v>
      </c>
      <c r="I284" t="s">
        <v>29</v>
      </c>
      <c r="J284" s="4">
        <v>84</v>
      </c>
      <c r="K284" s="4">
        <v>15</v>
      </c>
      <c r="L284" s="4">
        <v>37</v>
      </c>
      <c r="M284" s="4">
        <v>121</v>
      </c>
      <c r="N284" t="s">
        <v>30</v>
      </c>
      <c r="O284" t="s">
        <v>31</v>
      </c>
      <c r="P284" s="4" t="str">
        <f t="shared" si="4"/>
        <v>DUPLICATE</v>
      </c>
    </row>
    <row r="285" spans="1:16">
      <c r="A285" t="s">
        <v>593</v>
      </c>
      <c r="B285" t="s">
        <v>594</v>
      </c>
      <c r="C285" t="s">
        <v>122</v>
      </c>
      <c r="D285" t="s">
        <v>28</v>
      </c>
      <c r="E285" s="1">
        <v>28.68</v>
      </c>
      <c r="F285" s="1">
        <v>13.26</v>
      </c>
      <c r="G285" s="1">
        <v>15.42</v>
      </c>
      <c r="H285" s="2">
        <v>0.53770000000000007</v>
      </c>
      <c r="I285" t="s">
        <v>29</v>
      </c>
      <c r="J285" s="4">
        <v>5</v>
      </c>
      <c r="K285" s="4">
        <v>15</v>
      </c>
      <c r="L285" s="4">
        <v>468</v>
      </c>
      <c r="M285" s="4">
        <v>473</v>
      </c>
      <c r="N285" t="s">
        <v>73</v>
      </c>
      <c r="O285" t="s">
        <v>31</v>
      </c>
      <c r="P285" s="4" t="str">
        <f t="shared" si="4"/>
        <v>OK</v>
      </c>
    </row>
    <row r="286" spans="1:16">
      <c r="A286" t="s">
        <v>595</v>
      </c>
      <c r="B286" t="s">
        <v>596</v>
      </c>
      <c r="C286" t="s">
        <v>27</v>
      </c>
      <c r="D286" t="s">
        <v>28</v>
      </c>
      <c r="E286" s="1">
        <v>16.75</v>
      </c>
      <c r="F286" s="1">
        <v>6.95</v>
      </c>
      <c r="G286" s="1">
        <v>9.8000000000000007</v>
      </c>
      <c r="H286" s="2">
        <v>0.58509999999999995</v>
      </c>
      <c r="I286" t="s">
        <v>29</v>
      </c>
      <c r="J286" s="4">
        <v>62</v>
      </c>
      <c r="K286" s="4">
        <v>15</v>
      </c>
      <c r="L286" s="4">
        <v>66</v>
      </c>
      <c r="M286" s="4">
        <v>128</v>
      </c>
      <c r="N286" t="s">
        <v>30</v>
      </c>
      <c r="O286" t="s">
        <v>31</v>
      </c>
      <c r="P286" s="4" t="str">
        <f t="shared" si="4"/>
        <v>OK</v>
      </c>
    </row>
    <row r="287" spans="1:16">
      <c r="A287" t="s">
        <v>597</v>
      </c>
      <c r="B287" t="s">
        <v>598</v>
      </c>
      <c r="C287" t="s">
        <v>122</v>
      </c>
      <c r="D287" t="s">
        <v>28</v>
      </c>
      <c r="E287" s="1">
        <v>76.12</v>
      </c>
      <c r="F287" s="1">
        <v>31.47</v>
      </c>
      <c r="G287" s="1">
        <v>44.65</v>
      </c>
      <c r="H287" s="2">
        <v>0.58660000000000001</v>
      </c>
      <c r="I287" t="s">
        <v>29</v>
      </c>
      <c r="J287" s="4">
        <v>80</v>
      </c>
      <c r="K287" s="4">
        <v>15</v>
      </c>
      <c r="L287" s="4">
        <v>47</v>
      </c>
      <c r="M287" s="4">
        <v>127</v>
      </c>
      <c r="N287" t="s">
        <v>30</v>
      </c>
      <c r="O287" t="s">
        <v>31</v>
      </c>
      <c r="P287" s="4" t="str">
        <f t="shared" si="4"/>
        <v>OK</v>
      </c>
    </row>
    <row r="288" spans="1:16">
      <c r="A288" t="s">
        <v>599</v>
      </c>
      <c r="B288" t="s">
        <v>600</v>
      </c>
      <c r="C288" t="s">
        <v>122</v>
      </c>
      <c r="D288" t="s">
        <v>28</v>
      </c>
      <c r="E288" s="1">
        <v>493.56</v>
      </c>
      <c r="F288" s="1">
        <v>242.43</v>
      </c>
      <c r="G288" s="1">
        <v>251.13</v>
      </c>
      <c r="H288" s="2">
        <v>0.50880000000000003</v>
      </c>
      <c r="I288" t="s">
        <v>29</v>
      </c>
      <c r="J288" s="4">
        <v>14</v>
      </c>
      <c r="K288" s="4">
        <v>15</v>
      </c>
      <c r="L288" s="4">
        <v>265</v>
      </c>
      <c r="M288" s="4">
        <v>279</v>
      </c>
      <c r="N288" t="s">
        <v>73</v>
      </c>
      <c r="O288" t="s">
        <v>31</v>
      </c>
      <c r="P288" s="4" t="str">
        <f t="shared" si="4"/>
        <v>OK</v>
      </c>
    </row>
    <row r="289" spans="1:16">
      <c r="A289" t="s">
        <v>601</v>
      </c>
      <c r="B289" t="s">
        <v>602</v>
      </c>
      <c r="C289" t="s">
        <v>281</v>
      </c>
      <c r="D289" t="s">
        <v>28</v>
      </c>
      <c r="E289" s="1">
        <v>124.82</v>
      </c>
      <c r="F289" s="1">
        <v>148.54</v>
      </c>
      <c r="G289" s="1">
        <v>-23.72</v>
      </c>
      <c r="H289" s="2">
        <v>-0.19</v>
      </c>
      <c r="I289" t="s">
        <v>127</v>
      </c>
      <c r="J289" s="4">
        <v>91</v>
      </c>
      <c r="K289" s="4">
        <v>15</v>
      </c>
      <c r="L289" s="4">
        <v>442</v>
      </c>
      <c r="M289" s="4">
        <v>533</v>
      </c>
      <c r="N289" t="s">
        <v>30</v>
      </c>
      <c r="O289" t="s">
        <v>31</v>
      </c>
      <c r="P289" s="4" t="str">
        <f t="shared" si="4"/>
        <v>OK</v>
      </c>
    </row>
    <row r="290" spans="1:16">
      <c r="A290" t="s">
        <v>603</v>
      </c>
      <c r="B290" t="s">
        <v>604</v>
      </c>
      <c r="C290" t="s">
        <v>122</v>
      </c>
      <c r="D290" t="s">
        <v>28</v>
      </c>
      <c r="E290" s="1">
        <v>18.11</v>
      </c>
      <c r="F290" s="1">
        <v>6.41</v>
      </c>
      <c r="G290" s="1">
        <v>11.7</v>
      </c>
      <c r="H290" s="2">
        <v>0.64610000000000001</v>
      </c>
      <c r="I290" t="s">
        <v>29</v>
      </c>
      <c r="J290" s="4">
        <v>67</v>
      </c>
      <c r="K290" s="4">
        <v>15</v>
      </c>
      <c r="L290" s="4">
        <v>0</v>
      </c>
      <c r="M290" s="4">
        <v>67</v>
      </c>
      <c r="N290" t="s">
        <v>30</v>
      </c>
      <c r="O290" t="s">
        <v>31</v>
      </c>
      <c r="P290" s="4" t="str">
        <f t="shared" si="4"/>
        <v>OK</v>
      </c>
    </row>
    <row r="291" spans="1:16">
      <c r="A291" t="s">
        <v>605</v>
      </c>
      <c r="B291" t="s">
        <v>606</v>
      </c>
      <c r="C291" t="s">
        <v>122</v>
      </c>
      <c r="D291" t="s">
        <v>28</v>
      </c>
      <c r="E291" s="1">
        <v>17.96</v>
      </c>
      <c r="F291" s="1">
        <v>6.37</v>
      </c>
      <c r="G291" s="1">
        <v>11.59</v>
      </c>
      <c r="H291" s="2">
        <v>0.64529999999999998</v>
      </c>
      <c r="I291" t="s">
        <v>29</v>
      </c>
      <c r="J291" s="4">
        <v>13</v>
      </c>
      <c r="K291" s="4">
        <v>15</v>
      </c>
      <c r="L291" s="4">
        <v>469</v>
      </c>
      <c r="M291" s="4">
        <v>482</v>
      </c>
      <c r="N291" t="s">
        <v>73</v>
      </c>
      <c r="O291" t="s">
        <v>31</v>
      </c>
      <c r="P291" s="4" t="str">
        <f t="shared" si="4"/>
        <v>OK</v>
      </c>
    </row>
    <row r="292" spans="1:16">
      <c r="A292" t="s">
        <v>607</v>
      </c>
      <c r="B292" t="s">
        <v>608</v>
      </c>
      <c r="C292" t="s">
        <v>122</v>
      </c>
      <c r="D292" t="s">
        <v>28</v>
      </c>
      <c r="E292" s="1">
        <v>70.790000000000006</v>
      </c>
      <c r="F292" s="1">
        <v>31.74</v>
      </c>
      <c r="G292" s="1">
        <v>39.049999999999997</v>
      </c>
      <c r="H292" s="2">
        <v>0.55159999999999998</v>
      </c>
      <c r="I292" t="s">
        <v>29</v>
      </c>
      <c r="J292" s="4">
        <v>72</v>
      </c>
      <c r="K292" s="4">
        <v>15</v>
      </c>
      <c r="L292" s="4">
        <v>409</v>
      </c>
      <c r="M292" s="4">
        <v>481</v>
      </c>
      <c r="N292" t="s">
        <v>30</v>
      </c>
      <c r="O292" t="s">
        <v>31</v>
      </c>
      <c r="P292" s="4" t="str">
        <f t="shared" si="4"/>
        <v>OK</v>
      </c>
    </row>
    <row r="293" spans="1:16">
      <c r="A293" t="s">
        <v>609</v>
      </c>
      <c r="B293" t="s">
        <v>610</v>
      </c>
      <c r="C293" t="s">
        <v>122</v>
      </c>
      <c r="D293" t="s">
        <v>28</v>
      </c>
      <c r="E293" s="1">
        <v>30.4</v>
      </c>
      <c r="F293" s="1">
        <v>20.079999999999998</v>
      </c>
      <c r="G293" s="1">
        <v>10.32</v>
      </c>
      <c r="H293" s="2">
        <v>0.33950000000000002</v>
      </c>
      <c r="I293" t="s">
        <v>29</v>
      </c>
      <c r="J293" s="4">
        <v>88</v>
      </c>
      <c r="K293" s="4">
        <v>15</v>
      </c>
      <c r="L293" s="4">
        <v>443</v>
      </c>
      <c r="M293" s="4">
        <v>531</v>
      </c>
      <c r="N293" t="s">
        <v>30</v>
      </c>
      <c r="O293" t="s">
        <v>31</v>
      </c>
      <c r="P293" s="4" t="str">
        <f t="shared" si="4"/>
        <v>OK</v>
      </c>
    </row>
    <row r="294" spans="1:16">
      <c r="A294" t="s">
        <v>611</v>
      </c>
      <c r="B294" t="s">
        <v>612</v>
      </c>
      <c r="C294" t="s">
        <v>122</v>
      </c>
      <c r="D294" t="s">
        <v>28</v>
      </c>
      <c r="E294" s="1">
        <v>42.57</v>
      </c>
      <c r="F294" s="1">
        <v>27.37</v>
      </c>
      <c r="G294" s="1">
        <v>15.2</v>
      </c>
      <c r="H294" s="2">
        <v>0.35710000000000003</v>
      </c>
      <c r="I294" t="s">
        <v>29</v>
      </c>
      <c r="J294" s="4">
        <v>33</v>
      </c>
      <c r="K294" s="4">
        <v>15</v>
      </c>
      <c r="L294" s="4">
        <v>336</v>
      </c>
      <c r="M294" s="4">
        <v>369</v>
      </c>
      <c r="N294" t="s">
        <v>30</v>
      </c>
      <c r="O294" t="s">
        <v>31</v>
      </c>
      <c r="P294" s="4" t="str">
        <f t="shared" si="4"/>
        <v>DUPLICATE</v>
      </c>
    </row>
    <row r="295" spans="1:16">
      <c r="A295" t="s">
        <v>613</v>
      </c>
      <c r="B295" t="s">
        <v>614</v>
      </c>
      <c r="C295" t="s">
        <v>78</v>
      </c>
      <c r="D295" t="s">
        <v>28</v>
      </c>
      <c r="E295" s="1">
        <v>36.15</v>
      </c>
      <c r="F295" s="1">
        <v>15.86</v>
      </c>
      <c r="G295" s="1">
        <v>20.29</v>
      </c>
      <c r="H295" s="2">
        <v>0.56130000000000002</v>
      </c>
      <c r="I295" t="s">
        <v>29</v>
      </c>
      <c r="J295" s="4">
        <v>60</v>
      </c>
      <c r="K295" s="4">
        <v>15</v>
      </c>
      <c r="L295" s="4">
        <v>489</v>
      </c>
      <c r="M295" s="4">
        <v>549</v>
      </c>
      <c r="N295" t="s">
        <v>30</v>
      </c>
      <c r="O295" t="s">
        <v>31</v>
      </c>
      <c r="P295" s="4" t="str">
        <f t="shared" si="4"/>
        <v>OK</v>
      </c>
    </row>
    <row r="296" spans="1:16">
      <c r="A296" t="s">
        <v>615</v>
      </c>
      <c r="B296" t="s">
        <v>616</v>
      </c>
      <c r="C296" t="s">
        <v>122</v>
      </c>
      <c r="D296" t="s">
        <v>28</v>
      </c>
      <c r="E296" s="1">
        <v>26.09</v>
      </c>
      <c r="F296" s="1">
        <v>10.59</v>
      </c>
      <c r="G296" s="1">
        <v>15.5</v>
      </c>
      <c r="H296" s="2">
        <v>0.59409999999999996</v>
      </c>
      <c r="I296" t="s">
        <v>29</v>
      </c>
      <c r="J296" s="4">
        <v>10</v>
      </c>
      <c r="K296" s="4">
        <v>15</v>
      </c>
      <c r="L296" s="4">
        <v>47</v>
      </c>
      <c r="M296" s="4">
        <v>57</v>
      </c>
      <c r="N296" t="s">
        <v>73</v>
      </c>
      <c r="O296" t="s">
        <v>31</v>
      </c>
      <c r="P296" s="4" t="str">
        <f t="shared" si="4"/>
        <v>OK</v>
      </c>
    </row>
    <row r="297" spans="1:16">
      <c r="A297" t="s">
        <v>617</v>
      </c>
      <c r="B297" t="s">
        <v>618</v>
      </c>
      <c r="C297" t="s">
        <v>122</v>
      </c>
      <c r="D297" t="s">
        <v>28</v>
      </c>
      <c r="E297" s="1">
        <v>15.06</v>
      </c>
      <c r="F297" s="1">
        <v>10.28</v>
      </c>
      <c r="G297" s="1">
        <v>4.78</v>
      </c>
      <c r="H297" s="2">
        <v>0.31739999999999996</v>
      </c>
      <c r="I297" t="s">
        <v>29</v>
      </c>
      <c r="J297" s="4">
        <v>75</v>
      </c>
      <c r="K297" s="4">
        <v>15</v>
      </c>
      <c r="L297" s="4">
        <v>317</v>
      </c>
      <c r="M297" s="4">
        <v>392</v>
      </c>
      <c r="N297" t="s">
        <v>30</v>
      </c>
      <c r="O297" t="s">
        <v>31</v>
      </c>
      <c r="P297" s="4" t="str">
        <f t="shared" si="4"/>
        <v>OK</v>
      </c>
    </row>
    <row r="298" spans="1:16">
      <c r="A298" t="s">
        <v>619</v>
      </c>
      <c r="B298" t="s">
        <v>620</v>
      </c>
      <c r="C298" t="s">
        <v>64</v>
      </c>
      <c r="D298" t="s">
        <v>28</v>
      </c>
      <c r="E298" s="1">
        <v>25.24</v>
      </c>
      <c r="F298" s="1">
        <v>8.7200000000000006</v>
      </c>
      <c r="G298" s="1">
        <v>16.52</v>
      </c>
      <c r="H298" s="2">
        <v>0.65450000000000008</v>
      </c>
      <c r="I298" t="s">
        <v>29</v>
      </c>
      <c r="J298" s="4">
        <v>11</v>
      </c>
      <c r="K298" s="4">
        <v>15</v>
      </c>
      <c r="L298" s="4">
        <v>392</v>
      </c>
      <c r="M298" s="4">
        <v>403</v>
      </c>
      <c r="N298" t="s">
        <v>73</v>
      </c>
      <c r="O298" t="s">
        <v>31</v>
      </c>
      <c r="P298" s="4" t="str">
        <f t="shared" si="4"/>
        <v>OK</v>
      </c>
    </row>
    <row r="299" spans="1:16">
      <c r="A299" t="s">
        <v>621</v>
      </c>
      <c r="B299" t="s">
        <v>622</v>
      </c>
      <c r="C299" t="s">
        <v>122</v>
      </c>
      <c r="D299" t="s">
        <v>28</v>
      </c>
      <c r="E299" s="1">
        <v>24.31</v>
      </c>
      <c r="F299" s="1">
        <v>12.12</v>
      </c>
      <c r="G299" s="1">
        <v>12.19</v>
      </c>
      <c r="H299" s="2">
        <v>0.50139999999999996</v>
      </c>
      <c r="I299" t="s">
        <v>29</v>
      </c>
      <c r="J299" s="4">
        <v>19</v>
      </c>
      <c r="K299" s="4">
        <v>15</v>
      </c>
      <c r="L299" s="4">
        <v>198</v>
      </c>
      <c r="M299" s="4">
        <v>217</v>
      </c>
      <c r="N299" t="s">
        <v>30</v>
      </c>
      <c r="O299" t="s">
        <v>31</v>
      </c>
      <c r="P299" s="4" t="str">
        <f t="shared" si="4"/>
        <v>OK</v>
      </c>
    </row>
    <row r="300" spans="1:16">
      <c r="A300" t="s">
        <v>623</v>
      </c>
      <c r="B300" t="s">
        <v>624</v>
      </c>
      <c r="C300" t="s">
        <v>122</v>
      </c>
      <c r="D300" t="s">
        <v>28</v>
      </c>
      <c r="E300" s="1">
        <v>119.03</v>
      </c>
      <c r="F300" s="1">
        <v>79.5</v>
      </c>
      <c r="G300" s="1">
        <v>39.53</v>
      </c>
      <c r="H300" s="2">
        <v>0.33210000000000001</v>
      </c>
      <c r="I300" t="s">
        <v>29</v>
      </c>
      <c r="J300" s="4">
        <v>29</v>
      </c>
      <c r="K300" s="4">
        <v>15</v>
      </c>
      <c r="L300" s="4">
        <v>453</v>
      </c>
      <c r="M300" s="4">
        <v>482</v>
      </c>
      <c r="N300" t="s">
        <v>30</v>
      </c>
      <c r="O300" t="s">
        <v>31</v>
      </c>
      <c r="P300" s="4" t="str">
        <f t="shared" si="4"/>
        <v>OK</v>
      </c>
    </row>
    <row r="301" spans="1:16">
      <c r="A301" t="s">
        <v>625</v>
      </c>
      <c r="B301" t="s">
        <v>626</v>
      </c>
      <c r="C301" t="s">
        <v>85</v>
      </c>
      <c r="D301" t="s">
        <v>28</v>
      </c>
      <c r="E301" s="1">
        <v>104.95</v>
      </c>
      <c r="F301" s="1">
        <v>73.75</v>
      </c>
      <c r="G301" s="1">
        <v>31.2</v>
      </c>
      <c r="H301" s="2">
        <v>0.29730000000000001</v>
      </c>
      <c r="I301" t="s">
        <v>29</v>
      </c>
      <c r="J301" s="4">
        <v>25</v>
      </c>
      <c r="K301" s="4">
        <v>15</v>
      </c>
      <c r="L301" s="4">
        <v>482</v>
      </c>
      <c r="M301" s="4">
        <v>507</v>
      </c>
      <c r="N301" t="s">
        <v>30</v>
      </c>
      <c r="O301" t="s">
        <v>31</v>
      </c>
      <c r="P301" s="4" t="str">
        <f t="shared" si="4"/>
        <v>OK</v>
      </c>
    </row>
    <row r="302" spans="1:16">
      <c r="A302" t="s">
        <v>627</v>
      </c>
      <c r="B302" t="s">
        <v>628</v>
      </c>
      <c r="C302" t="s">
        <v>122</v>
      </c>
      <c r="D302" t="s">
        <v>28</v>
      </c>
      <c r="E302" s="1">
        <v>33.76</v>
      </c>
      <c r="F302" s="1">
        <v>20.37</v>
      </c>
      <c r="G302" s="1">
        <v>13.39</v>
      </c>
      <c r="H302" s="2">
        <v>0.39659999999999995</v>
      </c>
      <c r="I302" t="s">
        <v>29</v>
      </c>
      <c r="J302" s="4">
        <v>100</v>
      </c>
      <c r="K302" s="4">
        <v>15</v>
      </c>
      <c r="L302" s="4">
        <v>419</v>
      </c>
      <c r="M302" s="4">
        <v>519</v>
      </c>
      <c r="N302" t="s">
        <v>30</v>
      </c>
      <c r="O302" t="s">
        <v>31</v>
      </c>
      <c r="P302" s="4" t="str">
        <f t="shared" si="4"/>
        <v>OK</v>
      </c>
    </row>
    <row r="303" spans="1:16">
      <c r="A303" t="s">
        <v>629</v>
      </c>
      <c r="B303" t="s">
        <v>630</v>
      </c>
      <c r="C303" t="s">
        <v>122</v>
      </c>
      <c r="D303" t="s">
        <v>28</v>
      </c>
      <c r="E303" s="1">
        <v>16.75</v>
      </c>
      <c r="F303" s="1">
        <v>11.84</v>
      </c>
      <c r="G303" s="1">
        <v>4.91</v>
      </c>
      <c r="H303" s="2">
        <v>0.29309999999999997</v>
      </c>
      <c r="I303" t="s">
        <v>29</v>
      </c>
      <c r="J303" s="4">
        <v>64</v>
      </c>
      <c r="K303" s="4">
        <v>15</v>
      </c>
      <c r="L303" s="4">
        <v>198</v>
      </c>
      <c r="M303" s="4">
        <v>262</v>
      </c>
      <c r="N303" t="s">
        <v>30</v>
      </c>
      <c r="O303" t="s">
        <v>31</v>
      </c>
      <c r="P303" s="4" t="str">
        <f t="shared" si="4"/>
        <v>OK</v>
      </c>
    </row>
    <row r="304" spans="1:16">
      <c r="A304" t="s">
        <v>631</v>
      </c>
      <c r="B304" t="s">
        <v>632</v>
      </c>
      <c r="C304" t="s">
        <v>27</v>
      </c>
      <c r="D304" t="s">
        <v>28</v>
      </c>
      <c r="E304" s="1">
        <v>22.61</v>
      </c>
      <c r="F304" s="1">
        <v>6.79</v>
      </c>
      <c r="G304" s="1">
        <v>15.82</v>
      </c>
      <c r="H304" s="2">
        <v>0.69969999999999999</v>
      </c>
      <c r="I304" t="s">
        <v>29</v>
      </c>
      <c r="J304" s="4">
        <v>5</v>
      </c>
      <c r="K304" s="4">
        <v>15</v>
      </c>
      <c r="L304" s="4">
        <v>107</v>
      </c>
      <c r="M304" s="4">
        <v>112</v>
      </c>
      <c r="N304" t="s">
        <v>73</v>
      </c>
      <c r="O304" t="s">
        <v>31</v>
      </c>
      <c r="P304" s="4" t="str">
        <f t="shared" si="4"/>
        <v>OK</v>
      </c>
    </row>
    <row r="305" spans="1:16">
      <c r="A305" t="s">
        <v>633</v>
      </c>
      <c r="B305" t="s">
        <v>634</v>
      </c>
      <c r="C305" t="s">
        <v>122</v>
      </c>
      <c r="D305" t="s">
        <v>28</v>
      </c>
      <c r="E305" s="1">
        <v>21.21</v>
      </c>
      <c r="F305" s="1">
        <v>8.65</v>
      </c>
      <c r="G305" s="1">
        <v>12.56</v>
      </c>
      <c r="H305" s="2">
        <v>0.59219999999999995</v>
      </c>
      <c r="I305" t="s">
        <v>29</v>
      </c>
      <c r="J305" s="4">
        <v>23</v>
      </c>
      <c r="K305" s="4">
        <v>15</v>
      </c>
      <c r="L305" s="4">
        <v>2</v>
      </c>
      <c r="M305" s="4">
        <v>25</v>
      </c>
      <c r="N305" t="s">
        <v>30</v>
      </c>
      <c r="O305" t="s">
        <v>31</v>
      </c>
      <c r="P305" s="4" t="str">
        <f t="shared" si="4"/>
        <v>OK</v>
      </c>
    </row>
    <row r="306" spans="1:16">
      <c r="A306" t="s">
        <v>635</v>
      </c>
      <c r="B306" t="s">
        <v>636</v>
      </c>
      <c r="C306" t="s">
        <v>122</v>
      </c>
      <c r="D306" t="s">
        <v>28</v>
      </c>
      <c r="E306" s="1">
        <v>13.66</v>
      </c>
      <c r="F306" s="1">
        <v>9.24</v>
      </c>
      <c r="G306" s="1">
        <v>4.42</v>
      </c>
      <c r="H306" s="2">
        <v>0.3236</v>
      </c>
      <c r="I306" t="s">
        <v>29</v>
      </c>
      <c r="J306" s="4">
        <v>1</v>
      </c>
      <c r="K306" s="4">
        <v>15</v>
      </c>
      <c r="L306" s="4">
        <v>66</v>
      </c>
      <c r="M306" s="4">
        <v>67</v>
      </c>
      <c r="N306" t="s">
        <v>73</v>
      </c>
      <c r="O306" t="s">
        <v>31</v>
      </c>
      <c r="P306" s="4" t="str">
        <f t="shared" si="4"/>
        <v>OK</v>
      </c>
    </row>
    <row r="307" spans="1:16">
      <c r="A307" t="s">
        <v>637</v>
      </c>
      <c r="B307" t="s">
        <v>638</v>
      </c>
      <c r="C307" t="s">
        <v>281</v>
      </c>
      <c r="D307" t="s">
        <v>28</v>
      </c>
      <c r="E307" s="1">
        <v>8.66</v>
      </c>
      <c r="F307" s="1">
        <v>10.6</v>
      </c>
      <c r="G307" s="1">
        <v>-1.94</v>
      </c>
      <c r="H307" s="2">
        <v>-0.22399999999999998</v>
      </c>
      <c r="I307" t="s">
        <v>127</v>
      </c>
      <c r="J307" s="4">
        <v>0</v>
      </c>
      <c r="K307" s="4">
        <v>15</v>
      </c>
      <c r="L307" s="4">
        <v>42</v>
      </c>
      <c r="M307" s="4">
        <v>42</v>
      </c>
      <c r="N307" t="s">
        <v>19</v>
      </c>
      <c r="O307" t="s">
        <v>20</v>
      </c>
      <c r="P307" s="4" t="str">
        <f t="shared" si="4"/>
        <v>OK</v>
      </c>
    </row>
    <row r="308" spans="1:16">
      <c r="A308" t="s">
        <v>639</v>
      </c>
      <c r="B308" t="s">
        <v>640</v>
      </c>
      <c r="C308" t="s">
        <v>85</v>
      </c>
      <c r="D308" t="s">
        <v>28</v>
      </c>
      <c r="E308" s="1">
        <v>78.55</v>
      </c>
      <c r="F308" s="1">
        <v>29.74</v>
      </c>
      <c r="G308" s="1">
        <v>48.81</v>
      </c>
      <c r="H308" s="2">
        <v>0.62139999999999995</v>
      </c>
      <c r="I308" t="s">
        <v>29</v>
      </c>
      <c r="J308" s="4">
        <v>58</v>
      </c>
      <c r="K308" s="4">
        <v>15</v>
      </c>
      <c r="L308" s="4">
        <v>136</v>
      </c>
      <c r="M308" s="4">
        <v>194</v>
      </c>
      <c r="N308" t="s">
        <v>30</v>
      </c>
      <c r="O308" t="s">
        <v>31</v>
      </c>
      <c r="P308" s="4" t="str">
        <f t="shared" si="4"/>
        <v>OK</v>
      </c>
    </row>
    <row r="309" spans="1:16">
      <c r="A309" t="s">
        <v>641</v>
      </c>
      <c r="B309" t="s">
        <v>642</v>
      </c>
      <c r="C309" t="s">
        <v>85</v>
      </c>
      <c r="D309" t="s">
        <v>28</v>
      </c>
      <c r="E309" s="1">
        <v>117.49</v>
      </c>
      <c r="F309" s="1">
        <v>57.52</v>
      </c>
      <c r="G309" s="1">
        <v>59.97</v>
      </c>
      <c r="H309" s="2">
        <v>0.51039999999999996</v>
      </c>
      <c r="I309" t="s">
        <v>29</v>
      </c>
      <c r="J309" s="4">
        <v>52</v>
      </c>
      <c r="K309" s="4">
        <v>15</v>
      </c>
      <c r="L309" s="4">
        <v>398</v>
      </c>
      <c r="M309" s="4">
        <v>450</v>
      </c>
      <c r="N309" t="s">
        <v>30</v>
      </c>
      <c r="O309" t="s">
        <v>31</v>
      </c>
      <c r="P309" s="4" t="str">
        <f t="shared" si="4"/>
        <v>OK</v>
      </c>
    </row>
    <row r="310" spans="1:16">
      <c r="A310" t="s">
        <v>643</v>
      </c>
      <c r="B310" t="s">
        <v>644</v>
      </c>
      <c r="C310" t="s">
        <v>78</v>
      </c>
      <c r="D310" t="s">
        <v>28</v>
      </c>
      <c r="E310" s="1">
        <v>58.83</v>
      </c>
      <c r="F310" s="1">
        <v>41.05</v>
      </c>
      <c r="G310" s="1">
        <v>17.78</v>
      </c>
      <c r="H310" s="2">
        <v>0.30219999999999997</v>
      </c>
      <c r="I310" t="s">
        <v>29</v>
      </c>
      <c r="J310" s="4">
        <v>11</v>
      </c>
      <c r="K310" s="4">
        <v>15</v>
      </c>
      <c r="L310" s="4">
        <v>423</v>
      </c>
      <c r="M310" s="4">
        <v>434</v>
      </c>
      <c r="N310" t="s">
        <v>73</v>
      </c>
      <c r="O310" t="s">
        <v>31</v>
      </c>
      <c r="P310" s="4" t="str">
        <f t="shared" si="4"/>
        <v>OK</v>
      </c>
    </row>
    <row r="311" spans="1:16">
      <c r="A311" t="s">
        <v>645</v>
      </c>
      <c r="B311" t="s">
        <v>646</v>
      </c>
      <c r="C311" t="s">
        <v>85</v>
      </c>
      <c r="D311" t="s">
        <v>28</v>
      </c>
      <c r="E311" s="1">
        <v>22.23</v>
      </c>
      <c r="F311" s="1">
        <v>9.73</v>
      </c>
      <c r="G311" s="1">
        <v>12.5</v>
      </c>
      <c r="H311" s="2">
        <v>0.56230000000000002</v>
      </c>
      <c r="I311" t="s">
        <v>29</v>
      </c>
      <c r="J311" s="4">
        <v>64</v>
      </c>
      <c r="K311" s="4">
        <v>15</v>
      </c>
      <c r="L311" s="4">
        <v>447</v>
      </c>
      <c r="M311" s="4">
        <v>511</v>
      </c>
      <c r="N311" t="s">
        <v>30</v>
      </c>
      <c r="O311" t="s">
        <v>31</v>
      </c>
      <c r="P311" s="4" t="str">
        <f t="shared" si="4"/>
        <v>OK</v>
      </c>
    </row>
    <row r="312" spans="1:16">
      <c r="A312" t="s">
        <v>647</v>
      </c>
      <c r="B312" t="s">
        <v>648</v>
      </c>
      <c r="C312" t="s">
        <v>85</v>
      </c>
      <c r="D312" t="s">
        <v>28</v>
      </c>
      <c r="E312" s="1">
        <v>90.56</v>
      </c>
      <c r="F312" s="1">
        <v>28.14</v>
      </c>
      <c r="G312" s="1">
        <v>62.42</v>
      </c>
      <c r="H312" s="2">
        <v>0.68930000000000002</v>
      </c>
      <c r="I312" t="s">
        <v>29</v>
      </c>
      <c r="J312" s="4">
        <v>50</v>
      </c>
      <c r="K312" s="4">
        <v>15</v>
      </c>
      <c r="L312" s="4">
        <v>405</v>
      </c>
      <c r="M312" s="4">
        <v>455</v>
      </c>
      <c r="N312" t="s">
        <v>30</v>
      </c>
      <c r="O312" t="s">
        <v>31</v>
      </c>
      <c r="P312" s="4" t="str">
        <f t="shared" si="4"/>
        <v>OK</v>
      </c>
    </row>
    <row r="313" spans="1:16">
      <c r="A313" t="s">
        <v>649</v>
      </c>
      <c r="B313" t="s">
        <v>650</v>
      </c>
      <c r="C313" t="s">
        <v>64</v>
      </c>
      <c r="D313" t="s">
        <v>28</v>
      </c>
      <c r="E313" s="1">
        <v>35.69</v>
      </c>
      <c r="F313" s="1">
        <v>19.84</v>
      </c>
      <c r="G313" s="1">
        <v>15.85</v>
      </c>
      <c r="H313" s="2">
        <v>0.44409999999999994</v>
      </c>
      <c r="I313" t="s">
        <v>29</v>
      </c>
      <c r="J313" s="4">
        <v>35</v>
      </c>
      <c r="K313" s="4">
        <v>15</v>
      </c>
      <c r="L313" s="4">
        <v>136</v>
      </c>
      <c r="M313" s="4">
        <v>171</v>
      </c>
      <c r="N313" t="s">
        <v>30</v>
      </c>
      <c r="O313" t="s">
        <v>31</v>
      </c>
      <c r="P313" s="4" t="str">
        <f t="shared" si="4"/>
        <v>OK</v>
      </c>
    </row>
    <row r="314" spans="1:16">
      <c r="A314" t="s">
        <v>651</v>
      </c>
      <c r="B314" t="s">
        <v>652</v>
      </c>
      <c r="C314" t="s">
        <v>85</v>
      </c>
      <c r="D314" t="s">
        <v>28</v>
      </c>
      <c r="E314" s="1">
        <v>68.540000000000006</v>
      </c>
      <c r="F314" s="1">
        <v>38.090000000000003</v>
      </c>
      <c r="G314" s="1">
        <v>30.45</v>
      </c>
      <c r="H314" s="2">
        <v>0.44429999999999997</v>
      </c>
      <c r="I314" t="s">
        <v>29</v>
      </c>
      <c r="J314" s="4">
        <v>97</v>
      </c>
      <c r="K314" s="4">
        <v>15</v>
      </c>
      <c r="L314" s="4">
        <v>326</v>
      </c>
      <c r="M314" s="4">
        <v>423</v>
      </c>
      <c r="N314" t="s">
        <v>30</v>
      </c>
      <c r="O314" t="s">
        <v>31</v>
      </c>
      <c r="P314" s="4" t="str">
        <f t="shared" si="4"/>
        <v>OK</v>
      </c>
    </row>
    <row r="315" spans="1:16">
      <c r="A315" t="s">
        <v>653</v>
      </c>
      <c r="B315" t="s">
        <v>654</v>
      </c>
      <c r="C315" t="s">
        <v>85</v>
      </c>
      <c r="D315" t="s">
        <v>28</v>
      </c>
      <c r="E315" s="1">
        <v>73.95</v>
      </c>
      <c r="F315" s="1">
        <v>44.64</v>
      </c>
      <c r="G315" s="1">
        <v>29.31</v>
      </c>
      <c r="H315" s="2">
        <v>0.39630000000000004</v>
      </c>
      <c r="I315" t="s">
        <v>29</v>
      </c>
      <c r="J315" s="4">
        <v>45</v>
      </c>
      <c r="K315" s="4">
        <v>15</v>
      </c>
      <c r="L315" s="4">
        <v>365</v>
      </c>
      <c r="M315" s="4">
        <v>410</v>
      </c>
      <c r="N315" t="s">
        <v>30</v>
      </c>
      <c r="O315" t="s">
        <v>31</v>
      </c>
      <c r="P315" s="4" t="str">
        <f t="shared" si="4"/>
        <v>OK</v>
      </c>
    </row>
    <row r="316" spans="1:16">
      <c r="A316" t="s">
        <v>655</v>
      </c>
      <c r="B316" t="s">
        <v>656</v>
      </c>
      <c r="C316" t="s">
        <v>281</v>
      </c>
      <c r="D316" t="s">
        <v>28</v>
      </c>
      <c r="E316" s="1">
        <v>13.18</v>
      </c>
      <c r="F316" s="1">
        <v>5.92</v>
      </c>
      <c r="G316" s="1">
        <v>7.26</v>
      </c>
      <c r="H316" s="2">
        <v>0.55079999999999996</v>
      </c>
      <c r="I316" t="s">
        <v>29</v>
      </c>
      <c r="J316" s="4">
        <v>17</v>
      </c>
      <c r="K316" s="4">
        <v>15</v>
      </c>
      <c r="L316" s="4">
        <v>158</v>
      </c>
      <c r="M316" s="4">
        <v>175</v>
      </c>
      <c r="N316" t="s">
        <v>30</v>
      </c>
      <c r="O316" t="s">
        <v>31</v>
      </c>
      <c r="P316" s="4" t="str">
        <f t="shared" si="4"/>
        <v>OK</v>
      </c>
    </row>
    <row r="317" spans="1:16">
      <c r="A317" t="s">
        <v>657</v>
      </c>
      <c r="B317" t="s">
        <v>658</v>
      </c>
      <c r="C317" t="s">
        <v>85</v>
      </c>
      <c r="D317" t="s">
        <v>28</v>
      </c>
      <c r="E317" s="1">
        <v>23.16</v>
      </c>
      <c r="F317" s="1">
        <v>10.19</v>
      </c>
      <c r="G317" s="1">
        <v>12.97</v>
      </c>
      <c r="H317" s="2">
        <v>0.56000000000000005</v>
      </c>
      <c r="I317" t="s">
        <v>29</v>
      </c>
      <c r="J317" s="4">
        <v>84</v>
      </c>
      <c r="K317" s="4">
        <v>15</v>
      </c>
      <c r="L317" s="4">
        <v>280</v>
      </c>
      <c r="M317" s="4">
        <v>364</v>
      </c>
      <c r="N317" t="s">
        <v>30</v>
      </c>
      <c r="O317" t="s">
        <v>31</v>
      </c>
      <c r="P317" s="4" t="str">
        <f t="shared" si="4"/>
        <v>OK</v>
      </c>
    </row>
    <row r="318" spans="1:16">
      <c r="A318" t="s">
        <v>659</v>
      </c>
      <c r="B318" t="s">
        <v>660</v>
      </c>
      <c r="C318" t="s">
        <v>85</v>
      </c>
      <c r="D318" t="s">
        <v>28</v>
      </c>
      <c r="E318" s="1">
        <v>56.39</v>
      </c>
      <c r="F318" s="1">
        <v>36.82</v>
      </c>
      <c r="G318" s="1">
        <v>19.57</v>
      </c>
      <c r="H318" s="2">
        <v>0.34700000000000003</v>
      </c>
      <c r="I318" t="s">
        <v>29</v>
      </c>
      <c r="J318" s="4">
        <v>55</v>
      </c>
      <c r="K318" s="4">
        <v>15</v>
      </c>
      <c r="L318" s="4">
        <v>173</v>
      </c>
      <c r="M318" s="4">
        <v>228</v>
      </c>
      <c r="N318" t="s">
        <v>30</v>
      </c>
      <c r="O318" t="s">
        <v>31</v>
      </c>
      <c r="P318" s="4" t="str">
        <f t="shared" si="4"/>
        <v>OK</v>
      </c>
    </row>
    <row r="319" spans="1:16">
      <c r="A319" t="s">
        <v>661</v>
      </c>
      <c r="B319" t="s">
        <v>662</v>
      </c>
      <c r="C319" t="s">
        <v>78</v>
      </c>
      <c r="D319" t="s">
        <v>28</v>
      </c>
      <c r="E319" s="1">
        <v>70.099999999999994</v>
      </c>
      <c r="F319" s="1">
        <v>52.36</v>
      </c>
      <c r="G319" s="1">
        <v>17.739999999999998</v>
      </c>
      <c r="H319" s="2">
        <v>0.25309999999999999</v>
      </c>
      <c r="I319" t="s">
        <v>29</v>
      </c>
      <c r="J319" s="4">
        <v>4</v>
      </c>
      <c r="K319" s="4">
        <v>15</v>
      </c>
      <c r="L319" s="4">
        <v>340</v>
      </c>
      <c r="M319" s="4">
        <v>344</v>
      </c>
      <c r="N319" t="s">
        <v>73</v>
      </c>
      <c r="O319" t="s">
        <v>31</v>
      </c>
      <c r="P319" s="4" t="str">
        <f t="shared" si="4"/>
        <v>OK</v>
      </c>
    </row>
    <row r="320" spans="1:16">
      <c r="A320" t="s">
        <v>663</v>
      </c>
      <c r="B320" t="s">
        <v>664</v>
      </c>
      <c r="C320" t="s">
        <v>85</v>
      </c>
      <c r="D320" t="s">
        <v>28</v>
      </c>
      <c r="E320" s="1">
        <v>65.17</v>
      </c>
      <c r="F320" s="1">
        <v>23.81</v>
      </c>
      <c r="G320" s="1">
        <v>41.36</v>
      </c>
      <c r="H320" s="2">
        <v>0.63460000000000005</v>
      </c>
      <c r="I320" t="s">
        <v>29</v>
      </c>
      <c r="J320" s="4">
        <v>61</v>
      </c>
      <c r="K320" s="4">
        <v>15</v>
      </c>
      <c r="L320" s="4">
        <v>145</v>
      </c>
      <c r="M320" s="4">
        <v>206</v>
      </c>
      <c r="N320" t="s">
        <v>30</v>
      </c>
      <c r="O320" t="s">
        <v>31</v>
      </c>
      <c r="P320" s="4" t="str">
        <f t="shared" si="4"/>
        <v>OK</v>
      </c>
    </row>
    <row r="321" spans="1:16">
      <c r="A321" t="s">
        <v>665</v>
      </c>
      <c r="B321" t="s">
        <v>666</v>
      </c>
      <c r="C321" t="s">
        <v>85</v>
      </c>
      <c r="D321" t="s">
        <v>28</v>
      </c>
      <c r="E321" s="1">
        <v>59.11</v>
      </c>
      <c r="F321" s="1">
        <v>41.15</v>
      </c>
      <c r="G321" s="1">
        <v>17.96</v>
      </c>
      <c r="H321" s="2">
        <v>0.30380000000000001</v>
      </c>
      <c r="I321" t="s">
        <v>29</v>
      </c>
      <c r="J321" s="4">
        <v>22</v>
      </c>
      <c r="K321" s="4">
        <v>15</v>
      </c>
      <c r="L321" s="4">
        <v>102</v>
      </c>
      <c r="M321" s="4">
        <v>124</v>
      </c>
      <c r="N321" t="s">
        <v>30</v>
      </c>
      <c r="O321" t="s">
        <v>31</v>
      </c>
      <c r="P321" s="4" t="str">
        <f t="shared" si="4"/>
        <v>OK</v>
      </c>
    </row>
    <row r="322" spans="1:16">
      <c r="A322" t="s">
        <v>667</v>
      </c>
      <c r="B322" t="s">
        <v>668</v>
      </c>
      <c r="C322" t="s">
        <v>27</v>
      </c>
      <c r="D322" t="s">
        <v>28</v>
      </c>
      <c r="E322" s="1">
        <v>17.5</v>
      </c>
      <c r="F322" s="1">
        <v>8.61</v>
      </c>
      <c r="G322" s="1">
        <v>8.89</v>
      </c>
      <c r="H322" s="2">
        <v>0.50800000000000001</v>
      </c>
      <c r="I322" t="s">
        <v>29</v>
      </c>
      <c r="J322" s="4">
        <v>1</v>
      </c>
      <c r="K322" s="4">
        <v>15</v>
      </c>
      <c r="L322" s="4">
        <v>254</v>
      </c>
      <c r="M322" s="4">
        <v>255</v>
      </c>
      <c r="N322" t="s">
        <v>73</v>
      </c>
      <c r="O322" t="s">
        <v>31</v>
      </c>
      <c r="P322" s="4" t="str">
        <f t="shared" ref="P322:P385" si="5">IF(COUNTIF($B$2:$B$506, B322)&gt;1, "DUPLICATE", "OK")</f>
        <v>OK</v>
      </c>
    </row>
    <row r="323" spans="1:16">
      <c r="A323" t="s">
        <v>669</v>
      </c>
      <c r="B323" t="s">
        <v>670</v>
      </c>
      <c r="C323" t="s">
        <v>85</v>
      </c>
      <c r="D323" t="s">
        <v>28</v>
      </c>
      <c r="E323" s="1">
        <v>51.28</v>
      </c>
      <c r="F323" s="1">
        <v>16.420000000000002</v>
      </c>
      <c r="G323" s="1">
        <v>34.86</v>
      </c>
      <c r="H323" s="2">
        <v>0.67980000000000007</v>
      </c>
      <c r="I323" t="s">
        <v>29</v>
      </c>
      <c r="J323" s="4">
        <v>1</v>
      </c>
      <c r="K323" s="4">
        <v>15</v>
      </c>
      <c r="L323" s="4">
        <v>33</v>
      </c>
      <c r="M323" s="4">
        <v>34</v>
      </c>
      <c r="N323" t="s">
        <v>73</v>
      </c>
      <c r="O323" t="s">
        <v>31</v>
      </c>
      <c r="P323" s="4" t="str">
        <f t="shared" si="5"/>
        <v>OK</v>
      </c>
    </row>
    <row r="324" spans="1:16">
      <c r="A324" t="s">
        <v>671</v>
      </c>
      <c r="B324" t="s">
        <v>672</v>
      </c>
      <c r="C324" t="s">
        <v>85</v>
      </c>
      <c r="D324" t="s">
        <v>28</v>
      </c>
      <c r="E324" s="1">
        <v>43.01</v>
      </c>
      <c r="F324" s="1">
        <v>29.67</v>
      </c>
      <c r="G324" s="1">
        <v>13.34</v>
      </c>
      <c r="H324" s="2">
        <v>0.31019999999999998</v>
      </c>
      <c r="I324" t="s">
        <v>29</v>
      </c>
      <c r="J324" s="4">
        <v>2</v>
      </c>
      <c r="K324" s="4">
        <v>15</v>
      </c>
      <c r="L324" s="4">
        <v>409</v>
      </c>
      <c r="M324" s="4">
        <v>411</v>
      </c>
      <c r="N324" t="s">
        <v>73</v>
      </c>
      <c r="O324" t="s">
        <v>31</v>
      </c>
      <c r="P324" s="4" t="str">
        <f t="shared" si="5"/>
        <v>OK</v>
      </c>
    </row>
    <row r="325" spans="1:16">
      <c r="A325" t="s">
        <v>673</v>
      </c>
      <c r="B325" t="s">
        <v>674</v>
      </c>
      <c r="C325" t="s">
        <v>281</v>
      </c>
      <c r="D325" t="s">
        <v>28</v>
      </c>
      <c r="E325" s="1">
        <v>34.26</v>
      </c>
      <c r="F325" s="1">
        <v>25.25</v>
      </c>
      <c r="G325" s="1">
        <v>9.01</v>
      </c>
      <c r="H325" s="2">
        <v>0.26300000000000001</v>
      </c>
      <c r="I325" t="s">
        <v>29</v>
      </c>
      <c r="J325" s="4">
        <v>51</v>
      </c>
      <c r="K325" s="4">
        <v>15</v>
      </c>
      <c r="L325" s="4">
        <v>87</v>
      </c>
      <c r="M325" s="4">
        <v>138</v>
      </c>
      <c r="N325" t="s">
        <v>30</v>
      </c>
      <c r="O325" t="s">
        <v>31</v>
      </c>
      <c r="P325" s="4" t="str">
        <f t="shared" si="5"/>
        <v>OK</v>
      </c>
    </row>
    <row r="326" spans="1:16">
      <c r="A326" t="s">
        <v>675</v>
      </c>
      <c r="B326" t="s">
        <v>676</v>
      </c>
      <c r="C326" t="s">
        <v>85</v>
      </c>
      <c r="D326" t="s">
        <v>28</v>
      </c>
      <c r="E326" s="1">
        <v>41.23</v>
      </c>
      <c r="F326" s="1">
        <v>24.73</v>
      </c>
      <c r="G326" s="1">
        <v>16.5</v>
      </c>
      <c r="H326" s="2">
        <v>0.40020000000000006</v>
      </c>
      <c r="I326" t="s">
        <v>29</v>
      </c>
      <c r="J326" s="4">
        <v>99</v>
      </c>
      <c r="K326" s="4">
        <v>15</v>
      </c>
      <c r="L326" s="4">
        <v>281</v>
      </c>
      <c r="M326" s="4">
        <v>380</v>
      </c>
      <c r="N326" t="s">
        <v>30</v>
      </c>
      <c r="O326" t="s">
        <v>31</v>
      </c>
      <c r="P326" s="4" t="str">
        <f t="shared" si="5"/>
        <v>OK</v>
      </c>
    </row>
    <row r="327" spans="1:16">
      <c r="A327" t="s">
        <v>677</v>
      </c>
      <c r="B327" t="s">
        <v>678</v>
      </c>
      <c r="C327" t="s">
        <v>85</v>
      </c>
      <c r="D327" t="s">
        <v>28</v>
      </c>
      <c r="E327" s="1">
        <v>27.75</v>
      </c>
      <c r="F327" s="1">
        <v>11.1</v>
      </c>
      <c r="G327" s="1">
        <v>16.649999999999999</v>
      </c>
      <c r="H327" s="2">
        <v>0.6</v>
      </c>
      <c r="I327" t="s">
        <v>29</v>
      </c>
      <c r="J327" s="4">
        <v>56</v>
      </c>
      <c r="K327" s="4">
        <v>15</v>
      </c>
      <c r="L327" s="4">
        <v>424</v>
      </c>
      <c r="M327" s="4">
        <v>480</v>
      </c>
      <c r="N327" t="s">
        <v>30</v>
      </c>
      <c r="O327" t="s">
        <v>31</v>
      </c>
      <c r="P327" s="4" t="str">
        <f t="shared" si="5"/>
        <v>OK</v>
      </c>
    </row>
    <row r="328" spans="1:16">
      <c r="A328" t="s">
        <v>679</v>
      </c>
      <c r="B328" t="s">
        <v>680</v>
      </c>
      <c r="C328" t="s">
        <v>78</v>
      </c>
      <c r="D328" t="s">
        <v>28</v>
      </c>
      <c r="E328" s="1">
        <v>65.849999999999994</v>
      </c>
      <c r="F328" s="1">
        <v>21.61</v>
      </c>
      <c r="G328" s="1">
        <v>44.24</v>
      </c>
      <c r="H328" s="2">
        <v>0.67180000000000006</v>
      </c>
      <c r="I328" t="s">
        <v>29</v>
      </c>
      <c r="J328" s="4">
        <v>47</v>
      </c>
      <c r="K328" s="4">
        <v>15</v>
      </c>
      <c r="L328" s="4">
        <v>296</v>
      </c>
      <c r="M328" s="4">
        <v>343</v>
      </c>
      <c r="N328" t="s">
        <v>30</v>
      </c>
      <c r="O328" t="s">
        <v>31</v>
      </c>
      <c r="P328" s="4" t="str">
        <f t="shared" si="5"/>
        <v>OK</v>
      </c>
    </row>
    <row r="329" spans="1:16">
      <c r="A329" t="s">
        <v>681</v>
      </c>
      <c r="B329" t="s">
        <v>682</v>
      </c>
      <c r="C329" t="s">
        <v>85</v>
      </c>
      <c r="D329" t="s">
        <v>28</v>
      </c>
      <c r="E329" s="1">
        <v>33.729999999999997</v>
      </c>
      <c r="F329" s="1">
        <v>24.77</v>
      </c>
      <c r="G329" s="1">
        <v>8.9600000000000009</v>
      </c>
      <c r="H329" s="2">
        <v>0.2656</v>
      </c>
      <c r="I329" t="s">
        <v>29</v>
      </c>
      <c r="J329" s="4">
        <v>8</v>
      </c>
      <c r="K329" s="4">
        <v>15</v>
      </c>
      <c r="L329" s="4">
        <v>205</v>
      </c>
      <c r="M329" s="4">
        <v>213</v>
      </c>
      <c r="N329" t="s">
        <v>73</v>
      </c>
      <c r="O329" t="s">
        <v>31</v>
      </c>
      <c r="P329" s="4" t="str">
        <f t="shared" si="5"/>
        <v>OK</v>
      </c>
    </row>
    <row r="330" spans="1:16">
      <c r="A330" t="s">
        <v>683</v>
      </c>
      <c r="B330" t="s">
        <v>684</v>
      </c>
      <c r="C330" t="s">
        <v>85</v>
      </c>
      <c r="D330" t="s">
        <v>28</v>
      </c>
      <c r="E330" s="1">
        <v>52.39</v>
      </c>
      <c r="F330" s="1">
        <v>29.14</v>
      </c>
      <c r="G330" s="1">
        <v>23.25</v>
      </c>
      <c r="H330" s="2">
        <v>0.44380000000000003</v>
      </c>
      <c r="I330" t="s">
        <v>29</v>
      </c>
      <c r="J330" s="4">
        <v>79</v>
      </c>
      <c r="K330" s="4">
        <v>15</v>
      </c>
      <c r="L330" s="4">
        <v>418</v>
      </c>
      <c r="M330" s="4">
        <v>497</v>
      </c>
      <c r="N330" t="s">
        <v>30</v>
      </c>
      <c r="O330" t="s">
        <v>31</v>
      </c>
      <c r="P330" s="4" t="str">
        <f t="shared" si="5"/>
        <v>OK</v>
      </c>
    </row>
    <row r="331" spans="1:16">
      <c r="A331" t="s">
        <v>685</v>
      </c>
      <c r="B331" t="s">
        <v>686</v>
      </c>
      <c r="C331" t="s">
        <v>281</v>
      </c>
      <c r="D331" t="s">
        <v>28</v>
      </c>
      <c r="E331" s="1">
        <v>30.6</v>
      </c>
      <c r="F331" s="1">
        <v>21.05</v>
      </c>
      <c r="G331" s="1">
        <v>9.5500000000000007</v>
      </c>
      <c r="H331" s="2">
        <v>0.31209999999999999</v>
      </c>
      <c r="I331" t="s">
        <v>29</v>
      </c>
      <c r="J331" s="4">
        <v>11</v>
      </c>
      <c r="K331" s="4">
        <v>15</v>
      </c>
      <c r="L331" s="4">
        <v>364</v>
      </c>
      <c r="M331" s="4">
        <v>375</v>
      </c>
      <c r="N331" t="s">
        <v>73</v>
      </c>
      <c r="O331" t="s">
        <v>31</v>
      </c>
      <c r="P331" s="4" t="str">
        <f t="shared" si="5"/>
        <v>OK</v>
      </c>
    </row>
    <row r="332" spans="1:16">
      <c r="A332" t="s">
        <v>687</v>
      </c>
      <c r="B332" t="s">
        <v>688</v>
      </c>
      <c r="C332" t="s">
        <v>281</v>
      </c>
      <c r="D332" t="s">
        <v>28</v>
      </c>
      <c r="E332" s="1">
        <v>31.74</v>
      </c>
      <c r="F332" s="1">
        <v>17.16</v>
      </c>
      <c r="G332" s="1">
        <v>14.58</v>
      </c>
      <c r="H332" s="2">
        <v>0.45939999999999998</v>
      </c>
      <c r="I332" t="s">
        <v>29</v>
      </c>
      <c r="J332" s="4">
        <v>15</v>
      </c>
      <c r="K332" s="4">
        <v>15</v>
      </c>
      <c r="L332" s="4">
        <v>186</v>
      </c>
      <c r="M332" s="4">
        <v>201</v>
      </c>
      <c r="N332" t="s">
        <v>73</v>
      </c>
      <c r="O332" t="s">
        <v>31</v>
      </c>
      <c r="P332" s="4" t="str">
        <f t="shared" si="5"/>
        <v>OK</v>
      </c>
    </row>
    <row r="333" spans="1:16">
      <c r="A333" t="s">
        <v>689</v>
      </c>
      <c r="B333" t="s">
        <v>690</v>
      </c>
      <c r="C333" t="s">
        <v>281</v>
      </c>
      <c r="D333" t="s">
        <v>28</v>
      </c>
      <c r="E333" s="1">
        <v>32.049999999999997</v>
      </c>
      <c r="F333" s="1">
        <v>10.69</v>
      </c>
      <c r="G333" s="1">
        <v>21.36</v>
      </c>
      <c r="H333" s="2">
        <v>0.66650000000000009</v>
      </c>
      <c r="I333" t="s">
        <v>29</v>
      </c>
      <c r="J333" s="4">
        <v>5</v>
      </c>
      <c r="K333" s="4">
        <v>15</v>
      </c>
      <c r="L333" s="4">
        <v>425</v>
      </c>
      <c r="M333" s="4">
        <v>430</v>
      </c>
      <c r="N333" t="s">
        <v>73</v>
      </c>
      <c r="O333" t="s">
        <v>31</v>
      </c>
      <c r="P333" s="4" t="str">
        <f t="shared" si="5"/>
        <v>OK</v>
      </c>
    </row>
    <row r="334" spans="1:16">
      <c r="A334" t="s">
        <v>691</v>
      </c>
      <c r="B334" t="s">
        <v>692</v>
      </c>
      <c r="C334" t="s">
        <v>85</v>
      </c>
      <c r="D334" t="s">
        <v>28</v>
      </c>
      <c r="F334" s="1">
        <v>18.12</v>
      </c>
      <c r="H334" s="1"/>
      <c r="I334" t="s">
        <v>18</v>
      </c>
      <c r="J334" s="4">
        <v>41</v>
      </c>
      <c r="K334" s="4">
        <v>15</v>
      </c>
      <c r="L334" s="4">
        <v>45</v>
      </c>
      <c r="M334" s="4">
        <v>86</v>
      </c>
      <c r="N334" t="s">
        <v>30</v>
      </c>
      <c r="O334" t="s">
        <v>31</v>
      </c>
      <c r="P334" s="4" t="str">
        <f t="shared" si="5"/>
        <v>OK</v>
      </c>
    </row>
    <row r="335" spans="1:16">
      <c r="A335" t="s">
        <v>693</v>
      </c>
      <c r="B335" t="s">
        <v>694</v>
      </c>
      <c r="C335" t="s">
        <v>281</v>
      </c>
      <c r="D335" t="s">
        <v>28</v>
      </c>
      <c r="E335" s="1">
        <v>14.89</v>
      </c>
      <c r="F335" s="1">
        <v>7.71</v>
      </c>
      <c r="G335" s="1">
        <v>7.18</v>
      </c>
      <c r="H335" s="2">
        <v>0.48219999999999996</v>
      </c>
      <c r="I335" t="s">
        <v>29</v>
      </c>
      <c r="J335" s="4">
        <v>59</v>
      </c>
      <c r="K335" s="4">
        <v>15</v>
      </c>
      <c r="L335" s="4">
        <v>480</v>
      </c>
      <c r="M335" s="4">
        <v>539</v>
      </c>
      <c r="N335" t="s">
        <v>30</v>
      </c>
      <c r="O335" t="s">
        <v>31</v>
      </c>
      <c r="P335" s="4" t="str">
        <f t="shared" si="5"/>
        <v>OK</v>
      </c>
    </row>
    <row r="336" spans="1:16">
      <c r="A336" t="s">
        <v>695</v>
      </c>
      <c r="B336" t="s">
        <v>696</v>
      </c>
      <c r="C336" t="s">
        <v>281</v>
      </c>
      <c r="D336" t="s">
        <v>28</v>
      </c>
      <c r="E336" s="1">
        <v>97.88</v>
      </c>
      <c r="F336" s="1">
        <v>52.93</v>
      </c>
      <c r="G336" s="1">
        <v>44.95</v>
      </c>
      <c r="H336" s="2">
        <v>0.4592</v>
      </c>
      <c r="I336" t="s">
        <v>29</v>
      </c>
      <c r="J336" s="4">
        <v>42</v>
      </c>
      <c r="K336" s="4">
        <v>15</v>
      </c>
      <c r="L336" s="4">
        <v>159</v>
      </c>
      <c r="M336" s="4">
        <v>201</v>
      </c>
      <c r="N336" t="s">
        <v>30</v>
      </c>
      <c r="O336" t="s">
        <v>31</v>
      </c>
      <c r="P336" s="4" t="str">
        <f t="shared" si="5"/>
        <v>OK</v>
      </c>
    </row>
    <row r="337" spans="1:16">
      <c r="A337" t="s">
        <v>697</v>
      </c>
      <c r="B337" t="s">
        <v>698</v>
      </c>
      <c r="C337" t="s">
        <v>64</v>
      </c>
      <c r="D337" t="s">
        <v>28</v>
      </c>
      <c r="E337" s="1">
        <v>45.82</v>
      </c>
      <c r="F337" s="1">
        <v>28.21</v>
      </c>
      <c r="G337" s="1">
        <v>17.61</v>
      </c>
      <c r="H337" s="2">
        <v>0.38429999999999997</v>
      </c>
      <c r="I337" t="s">
        <v>29</v>
      </c>
      <c r="J337" s="4">
        <v>51</v>
      </c>
      <c r="K337" s="4">
        <v>15</v>
      </c>
      <c r="L337" s="4">
        <v>106</v>
      </c>
      <c r="M337" s="4">
        <v>157</v>
      </c>
      <c r="N337" t="s">
        <v>30</v>
      </c>
      <c r="O337" t="s">
        <v>31</v>
      </c>
      <c r="P337" s="4" t="str">
        <f t="shared" si="5"/>
        <v>OK</v>
      </c>
    </row>
    <row r="338" spans="1:16">
      <c r="A338" t="s">
        <v>699</v>
      </c>
      <c r="B338" t="s">
        <v>700</v>
      </c>
      <c r="C338" t="s">
        <v>281</v>
      </c>
      <c r="D338" t="s">
        <v>28</v>
      </c>
      <c r="E338" s="1">
        <v>47.22</v>
      </c>
      <c r="F338" s="1">
        <v>28.51</v>
      </c>
      <c r="G338" s="1">
        <v>18.71</v>
      </c>
      <c r="H338" s="2">
        <v>0.3962</v>
      </c>
      <c r="I338" t="s">
        <v>29</v>
      </c>
      <c r="J338" s="4">
        <v>31</v>
      </c>
      <c r="K338" s="4">
        <v>15</v>
      </c>
      <c r="L338" s="4">
        <v>79</v>
      </c>
      <c r="M338" s="4">
        <v>110</v>
      </c>
      <c r="N338" t="s">
        <v>30</v>
      </c>
      <c r="O338" t="s">
        <v>31</v>
      </c>
      <c r="P338" s="4" t="str">
        <f t="shared" si="5"/>
        <v>OK</v>
      </c>
    </row>
    <row r="339" spans="1:16">
      <c r="A339" t="s">
        <v>701</v>
      </c>
      <c r="B339" t="s">
        <v>702</v>
      </c>
      <c r="C339" t="s">
        <v>281</v>
      </c>
      <c r="D339" t="s">
        <v>28</v>
      </c>
      <c r="E339" s="1">
        <v>19.059999999999999</v>
      </c>
      <c r="F339" s="1">
        <v>13.05</v>
      </c>
      <c r="G339" s="1">
        <v>6.01</v>
      </c>
      <c r="H339" s="2">
        <v>0.31530000000000002</v>
      </c>
      <c r="I339" t="s">
        <v>29</v>
      </c>
      <c r="J339" s="4">
        <v>97</v>
      </c>
      <c r="K339" s="4">
        <v>15</v>
      </c>
      <c r="L339" s="4">
        <v>268</v>
      </c>
      <c r="M339" s="4">
        <v>365</v>
      </c>
      <c r="N339" t="s">
        <v>30</v>
      </c>
      <c r="O339" t="s">
        <v>31</v>
      </c>
      <c r="P339" s="4" t="str">
        <f t="shared" si="5"/>
        <v>OK</v>
      </c>
    </row>
    <row r="340" spans="1:16">
      <c r="A340" t="s">
        <v>703</v>
      </c>
      <c r="B340" t="s">
        <v>704</v>
      </c>
      <c r="C340" t="s">
        <v>39</v>
      </c>
      <c r="D340" t="s">
        <v>28</v>
      </c>
      <c r="E340" s="1">
        <v>38.83</v>
      </c>
      <c r="F340" s="1">
        <v>13.37</v>
      </c>
      <c r="G340" s="1">
        <v>25.46</v>
      </c>
      <c r="H340" s="2">
        <v>0.65569999999999995</v>
      </c>
      <c r="I340" t="s">
        <v>29</v>
      </c>
      <c r="J340" s="4">
        <v>27</v>
      </c>
      <c r="K340" s="4">
        <v>15</v>
      </c>
      <c r="L340" s="4">
        <v>365</v>
      </c>
      <c r="M340" s="4">
        <v>392</v>
      </c>
      <c r="N340" t="s">
        <v>30</v>
      </c>
      <c r="O340" t="s">
        <v>31</v>
      </c>
      <c r="P340" s="4" t="str">
        <f t="shared" si="5"/>
        <v>OK</v>
      </c>
    </row>
    <row r="341" spans="1:16">
      <c r="A341" t="s">
        <v>705</v>
      </c>
      <c r="B341" t="s">
        <v>706</v>
      </c>
      <c r="C341" t="s">
        <v>281</v>
      </c>
      <c r="D341" t="s">
        <v>28</v>
      </c>
      <c r="E341" s="1">
        <v>403.02</v>
      </c>
      <c r="F341" s="1">
        <v>130</v>
      </c>
      <c r="G341" s="1">
        <v>273.02</v>
      </c>
      <c r="H341" s="2">
        <v>0.6774</v>
      </c>
      <c r="I341" t="s">
        <v>29</v>
      </c>
      <c r="J341" s="4">
        <v>53</v>
      </c>
      <c r="K341" s="4">
        <v>15</v>
      </c>
      <c r="L341" s="4">
        <v>210</v>
      </c>
      <c r="M341" s="4">
        <v>263</v>
      </c>
      <c r="N341" t="s">
        <v>30</v>
      </c>
      <c r="O341" t="s">
        <v>31</v>
      </c>
      <c r="P341" s="4" t="str">
        <f t="shared" si="5"/>
        <v>OK</v>
      </c>
    </row>
    <row r="342" spans="1:16">
      <c r="A342" t="s">
        <v>707</v>
      </c>
      <c r="B342" t="s">
        <v>708</v>
      </c>
      <c r="C342" t="s">
        <v>281</v>
      </c>
      <c r="D342" t="s">
        <v>28</v>
      </c>
      <c r="E342" s="1">
        <v>31.44</v>
      </c>
      <c r="F342" s="1">
        <v>20.71</v>
      </c>
      <c r="G342" s="1">
        <v>10.73</v>
      </c>
      <c r="H342" s="2">
        <v>0.34130000000000005</v>
      </c>
      <c r="I342" t="s">
        <v>29</v>
      </c>
      <c r="J342" s="4">
        <v>68</v>
      </c>
      <c r="K342" s="4">
        <v>15</v>
      </c>
      <c r="L342" s="4">
        <v>452</v>
      </c>
      <c r="M342" s="4">
        <v>520</v>
      </c>
      <c r="N342" t="s">
        <v>30</v>
      </c>
      <c r="O342" t="s">
        <v>31</v>
      </c>
      <c r="P342" s="4" t="str">
        <f t="shared" si="5"/>
        <v>OK</v>
      </c>
    </row>
    <row r="343" spans="1:16">
      <c r="A343" t="s">
        <v>709</v>
      </c>
      <c r="B343" t="s">
        <v>710</v>
      </c>
      <c r="C343" t="s">
        <v>34</v>
      </c>
      <c r="D343" t="s">
        <v>28</v>
      </c>
      <c r="E343" s="1">
        <v>94.41</v>
      </c>
      <c r="F343" s="1">
        <v>48.4</v>
      </c>
      <c r="G343" s="1">
        <v>46.01</v>
      </c>
      <c r="H343" s="2">
        <v>0.48729999999999996</v>
      </c>
      <c r="I343" t="s">
        <v>29</v>
      </c>
      <c r="J343" s="4">
        <v>18</v>
      </c>
      <c r="K343" s="4">
        <v>15</v>
      </c>
      <c r="L343" s="4">
        <v>196</v>
      </c>
      <c r="M343" s="4">
        <v>214</v>
      </c>
      <c r="N343" t="s">
        <v>30</v>
      </c>
      <c r="O343" t="s">
        <v>31</v>
      </c>
      <c r="P343" s="4" t="str">
        <f t="shared" si="5"/>
        <v>OK</v>
      </c>
    </row>
    <row r="344" spans="1:16">
      <c r="A344" t="s">
        <v>711</v>
      </c>
      <c r="B344" t="s">
        <v>712</v>
      </c>
      <c r="C344" t="s">
        <v>281</v>
      </c>
      <c r="D344" t="s">
        <v>28</v>
      </c>
      <c r="E344" s="1">
        <v>99.8</v>
      </c>
      <c r="F344" s="1">
        <v>44.93</v>
      </c>
      <c r="G344" s="1">
        <v>54.87</v>
      </c>
      <c r="H344" s="2">
        <v>0.54979999999999996</v>
      </c>
      <c r="I344" t="s">
        <v>29</v>
      </c>
      <c r="J344" s="4">
        <v>46</v>
      </c>
      <c r="K344" s="4">
        <v>15</v>
      </c>
      <c r="L344" s="4">
        <v>93</v>
      </c>
      <c r="M344" s="4">
        <v>139</v>
      </c>
      <c r="N344" t="s">
        <v>30</v>
      </c>
      <c r="O344" t="s">
        <v>31</v>
      </c>
      <c r="P344" s="4" t="str">
        <f t="shared" si="5"/>
        <v>OK</v>
      </c>
    </row>
    <row r="345" spans="1:16">
      <c r="A345" t="s">
        <v>713</v>
      </c>
      <c r="B345" t="s">
        <v>714</v>
      </c>
      <c r="C345" t="s">
        <v>281</v>
      </c>
      <c r="D345" t="s">
        <v>28</v>
      </c>
      <c r="E345" s="1">
        <v>30.49</v>
      </c>
      <c r="F345" s="1">
        <v>17.97</v>
      </c>
      <c r="G345" s="1">
        <v>12.52</v>
      </c>
      <c r="H345" s="2">
        <v>0.41060000000000002</v>
      </c>
      <c r="I345" t="s">
        <v>29</v>
      </c>
      <c r="J345" s="4">
        <v>59</v>
      </c>
      <c r="K345" s="4">
        <v>15</v>
      </c>
      <c r="L345" s="4">
        <v>207</v>
      </c>
      <c r="M345" s="4">
        <v>266</v>
      </c>
      <c r="N345" t="s">
        <v>30</v>
      </c>
      <c r="O345" t="s">
        <v>31</v>
      </c>
      <c r="P345" s="4" t="str">
        <f t="shared" si="5"/>
        <v>OK</v>
      </c>
    </row>
    <row r="346" spans="1:16">
      <c r="A346" t="s">
        <v>715</v>
      </c>
      <c r="B346" t="s">
        <v>716</v>
      </c>
      <c r="C346" t="s">
        <v>39</v>
      </c>
      <c r="D346" t="s">
        <v>28</v>
      </c>
      <c r="E346" s="1">
        <v>34</v>
      </c>
      <c r="F346" s="1">
        <v>25.11</v>
      </c>
      <c r="G346" s="1">
        <v>8.89</v>
      </c>
      <c r="H346" s="2">
        <v>0.26150000000000001</v>
      </c>
      <c r="I346" t="s">
        <v>29</v>
      </c>
      <c r="J346" s="4">
        <v>4</v>
      </c>
      <c r="K346" s="4">
        <v>15</v>
      </c>
      <c r="L346" s="4">
        <v>336</v>
      </c>
      <c r="M346" s="4">
        <v>340</v>
      </c>
      <c r="N346" t="s">
        <v>73</v>
      </c>
      <c r="O346" t="s">
        <v>31</v>
      </c>
      <c r="P346" s="4" t="str">
        <f t="shared" si="5"/>
        <v>OK</v>
      </c>
    </row>
    <row r="347" spans="1:16">
      <c r="A347" t="s">
        <v>717</v>
      </c>
      <c r="B347" t="s">
        <v>718</v>
      </c>
      <c r="C347" t="s">
        <v>281</v>
      </c>
      <c r="D347" t="s">
        <v>28</v>
      </c>
      <c r="E347" s="1">
        <v>31.43</v>
      </c>
      <c r="F347" s="1">
        <v>19.05</v>
      </c>
      <c r="G347" s="1">
        <v>12.38</v>
      </c>
      <c r="H347" s="2">
        <v>0.39390000000000003</v>
      </c>
      <c r="I347" t="s">
        <v>29</v>
      </c>
      <c r="J347" s="4">
        <v>67</v>
      </c>
      <c r="K347" s="4">
        <v>15</v>
      </c>
      <c r="L347" s="4">
        <v>44</v>
      </c>
      <c r="M347" s="4">
        <v>111</v>
      </c>
      <c r="N347" t="s">
        <v>30</v>
      </c>
      <c r="O347" t="s">
        <v>31</v>
      </c>
      <c r="P347" s="4" t="str">
        <f t="shared" si="5"/>
        <v>OK</v>
      </c>
    </row>
    <row r="348" spans="1:16">
      <c r="A348" t="s">
        <v>719</v>
      </c>
      <c r="B348" t="s">
        <v>720</v>
      </c>
      <c r="C348" t="s">
        <v>281</v>
      </c>
      <c r="D348" t="s">
        <v>28</v>
      </c>
      <c r="E348" s="1">
        <v>71.52</v>
      </c>
      <c r="F348" s="1">
        <v>22.86</v>
      </c>
      <c r="G348" s="1">
        <v>48.66</v>
      </c>
      <c r="H348" s="2">
        <v>0.68040000000000012</v>
      </c>
      <c r="I348" t="s">
        <v>29</v>
      </c>
      <c r="J348" s="4">
        <v>19</v>
      </c>
      <c r="K348" s="4">
        <v>15</v>
      </c>
      <c r="L348" s="4">
        <v>77</v>
      </c>
      <c r="M348" s="4">
        <v>96</v>
      </c>
      <c r="N348" t="s">
        <v>30</v>
      </c>
      <c r="O348" t="s">
        <v>31</v>
      </c>
      <c r="P348" s="4" t="str">
        <f t="shared" si="5"/>
        <v>OK</v>
      </c>
    </row>
    <row r="349" spans="1:16">
      <c r="A349" t="s">
        <v>721</v>
      </c>
      <c r="B349" t="s">
        <v>722</v>
      </c>
      <c r="C349" t="s">
        <v>34</v>
      </c>
      <c r="D349" t="s">
        <v>28</v>
      </c>
      <c r="E349" s="1">
        <v>19.7</v>
      </c>
      <c r="F349" s="1">
        <v>11.73</v>
      </c>
      <c r="G349" s="1">
        <v>7.97</v>
      </c>
      <c r="H349" s="2">
        <v>0.40460000000000002</v>
      </c>
      <c r="I349" t="s">
        <v>29</v>
      </c>
      <c r="J349" s="4">
        <v>9</v>
      </c>
      <c r="K349" s="4">
        <v>15</v>
      </c>
      <c r="L349" s="4">
        <v>329</v>
      </c>
      <c r="M349" s="4">
        <v>338</v>
      </c>
      <c r="N349" t="s">
        <v>73</v>
      </c>
      <c r="O349" t="s">
        <v>31</v>
      </c>
      <c r="P349" s="4" t="str">
        <f t="shared" si="5"/>
        <v>OK</v>
      </c>
    </row>
    <row r="350" spans="1:16">
      <c r="A350" t="s">
        <v>723</v>
      </c>
      <c r="B350" t="s">
        <v>724</v>
      </c>
      <c r="C350" t="s">
        <v>281</v>
      </c>
      <c r="D350" t="s">
        <v>28</v>
      </c>
      <c r="E350" s="1">
        <v>73.709999999999994</v>
      </c>
      <c r="F350" s="1">
        <v>26.62</v>
      </c>
      <c r="G350" s="1">
        <v>47.09</v>
      </c>
      <c r="H350" s="2">
        <v>0.63890000000000002</v>
      </c>
      <c r="I350" t="s">
        <v>29</v>
      </c>
      <c r="J350" s="4">
        <v>58</v>
      </c>
      <c r="K350" s="4">
        <v>15</v>
      </c>
      <c r="L350" s="4">
        <v>361</v>
      </c>
      <c r="M350" s="4">
        <v>419</v>
      </c>
      <c r="N350" t="s">
        <v>30</v>
      </c>
      <c r="O350" t="s">
        <v>31</v>
      </c>
      <c r="P350" s="4" t="str">
        <f t="shared" si="5"/>
        <v>OK</v>
      </c>
    </row>
    <row r="351" spans="1:16">
      <c r="A351" t="s">
        <v>725</v>
      </c>
      <c r="B351" t="s">
        <v>726</v>
      </c>
      <c r="C351" t="s">
        <v>281</v>
      </c>
      <c r="D351" t="s">
        <v>28</v>
      </c>
      <c r="E351" s="1">
        <v>54.34</v>
      </c>
      <c r="F351" s="1">
        <v>32.47</v>
      </c>
      <c r="G351" s="1">
        <v>21.87</v>
      </c>
      <c r="H351" s="2">
        <v>0.40250000000000002</v>
      </c>
      <c r="I351" t="s">
        <v>29</v>
      </c>
      <c r="J351" s="4">
        <v>37</v>
      </c>
      <c r="K351" s="4">
        <v>15</v>
      </c>
      <c r="L351" s="4">
        <v>154</v>
      </c>
      <c r="M351" s="4">
        <v>191</v>
      </c>
      <c r="N351" t="s">
        <v>30</v>
      </c>
      <c r="O351" t="s">
        <v>31</v>
      </c>
      <c r="P351" s="4" t="str">
        <f t="shared" si="5"/>
        <v>OK</v>
      </c>
    </row>
    <row r="352" spans="1:16">
      <c r="A352" t="s">
        <v>727</v>
      </c>
      <c r="B352" t="s">
        <v>728</v>
      </c>
      <c r="C352" t="s">
        <v>281</v>
      </c>
      <c r="D352" t="s">
        <v>28</v>
      </c>
      <c r="E352" s="1">
        <v>428.99</v>
      </c>
      <c r="F352" s="1">
        <v>191.19</v>
      </c>
      <c r="G352" s="1">
        <v>237.8</v>
      </c>
      <c r="H352" s="2">
        <v>0.55430000000000001</v>
      </c>
      <c r="I352" t="s">
        <v>29</v>
      </c>
      <c r="J352" s="4">
        <v>21</v>
      </c>
      <c r="K352" s="4">
        <v>15</v>
      </c>
      <c r="L352" s="4">
        <v>215</v>
      </c>
      <c r="M352" s="4">
        <v>236</v>
      </c>
      <c r="N352" t="s">
        <v>30</v>
      </c>
      <c r="O352" t="s">
        <v>31</v>
      </c>
      <c r="P352" s="4" t="str">
        <f t="shared" si="5"/>
        <v>OK</v>
      </c>
    </row>
    <row r="353" spans="1:16">
      <c r="A353" t="s">
        <v>729</v>
      </c>
      <c r="B353" t="s">
        <v>730</v>
      </c>
      <c r="C353" t="s">
        <v>281</v>
      </c>
      <c r="D353" t="s">
        <v>28</v>
      </c>
      <c r="E353" s="1">
        <v>51.79</v>
      </c>
      <c r="F353" s="1">
        <v>31.99</v>
      </c>
      <c r="G353" s="1">
        <v>19.8</v>
      </c>
      <c r="H353" s="2">
        <v>0.38229999999999997</v>
      </c>
      <c r="I353" t="s">
        <v>29</v>
      </c>
      <c r="J353" s="4">
        <v>14</v>
      </c>
      <c r="K353" s="4">
        <v>15</v>
      </c>
      <c r="L353" s="4">
        <v>145</v>
      </c>
      <c r="M353" s="4">
        <v>159</v>
      </c>
      <c r="N353" t="s">
        <v>73</v>
      </c>
      <c r="O353" t="s">
        <v>31</v>
      </c>
      <c r="P353" s="4" t="str">
        <f t="shared" si="5"/>
        <v>OK</v>
      </c>
    </row>
    <row r="354" spans="1:16">
      <c r="A354" t="s">
        <v>731</v>
      </c>
      <c r="B354" t="s">
        <v>732</v>
      </c>
      <c r="C354" t="s">
        <v>281</v>
      </c>
      <c r="D354" t="s">
        <v>28</v>
      </c>
      <c r="E354" s="1">
        <v>31.44</v>
      </c>
      <c r="F354" s="1">
        <v>15.25</v>
      </c>
      <c r="G354" s="1">
        <v>16.190000000000001</v>
      </c>
      <c r="H354" s="2">
        <v>0.51490000000000002</v>
      </c>
      <c r="I354" t="s">
        <v>29</v>
      </c>
      <c r="J354" s="4">
        <v>95</v>
      </c>
      <c r="K354" s="4">
        <v>15</v>
      </c>
      <c r="L354" s="4">
        <v>94</v>
      </c>
      <c r="M354" s="4">
        <v>189</v>
      </c>
      <c r="N354" t="s">
        <v>30</v>
      </c>
      <c r="O354" t="s">
        <v>31</v>
      </c>
      <c r="P354" s="4" t="str">
        <f t="shared" si="5"/>
        <v>OK</v>
      </c>
    </row>
    <row r="355" spans="1:16">
      <c r="A355" t="s">
        <v>733</v>
      </c>
      <c r="B355" t="s">
        <v>734</v>
      </c>
      <c r="C355" t="s">
        <v>281</v>
      </c>
      <c r="D355" t="s">
        <v>28</v>
      </c>
      <c r="E355" s="1">
        <v>28.56</v>
      </c>
      <c r="F355" s="1">
        <v>15.42</v>
      </c>
      <c r="G355" s="1">
        <v>13.14</v>
      </c>
      <c r="H355" s="2">
        <v>0.46009999999999995</v>
      </c>
      <c r="I355" t="s">
        <v>29</v>
      </c>
      <c r="J355" s="4">
        <v>31</v>
      </c>
      <c r="K355" s="4">
        <v>15</v>
      </c>
      <c r="L355" s="4">
        <v>432</v>
      </c>
      <c r="M355" s="4">
        <v>463</v>
      </c>
      <c r="N355" t="s">
        <v>30</v>
      </c>
      <c r="O355" t="s">
        <v>31</v>
      </c>
      <c r="P355" s="4" t="str">
        <f t="shared" si="5"/>
        <v>OK</v>
      </c>
    </row>
    <row r="356" spans="1:16">
      <c r="A356" t="s">
        <v>735</v>
      </c>
      <c r="B356" t="s">
        <v>736</v>
      </c>
      <c r="C356" t="s">
        <v>281</v>
      </c>
      <c r="D356" t="s">
        <v>28</v>
      </c>
      <c r="E356" s="1">
        <v>70.22</v>
      </c>
      <c r="F356" s="1">
        <v>41.95</v>
      </c>
      <c r="G356" s="1">
        <v>28.27</v>
      </c>
      <c r="H356" s="2">
        <v>0.40259999999999996</v>
      </c>
      <c r="I356" t="s">
        <v>29</v>
      </c>
      <c r="J356" s="4">
        <v>37</v>
      </c>
      <c r="K356" s="4">
        <v>15</v>
      </c>
      <c r="L356" s="4">
        <v>281</v>
      </c>
      <c r="M356" s="4">
        <v>318</v>
      </c>
      <c r="N356" t="s">
        <v>30</v>
      </c>
      <c r="O356" t="s">
        <v>31</v>
      </c>
      <c r="P356" s="4" t="str">
        <f t="shared" si="5"/>
        <v>OK</v>
      </c>
    </row>
    <row r="357" spans="1:16">
      <c r="A357" t="s">
        <v>737</v>
      </c>
      <c r="B357" t="s">
        <v>738</v>
      </c>
      <c r="C357" t="s">
        <v>27</v>
      </c>
      <c r="D357" t="s">
        <v>28</v>
      </c>
      <c r="E357" s="1">
        <v>13.25</v>
      </c>
      <c r="F357" s="1">
        <v>5.45</v>
      </c>
      <c r="G357" s="1">
        <v>7.8</v>
      </c>
      <c r="H357" s="2">
        <v>0.5887</v>
      </c>
      <c r="I357" t="s">
        <v>29</v>
      </c>
      <c r="J357" s="4">
        <v>85</v>
      </c>
      <c r="K357" s="4">
        <v>15</v>
      </c>
      <c r="L357" s="4">
        <v>437</v>
      </c>
      <c r="M357" s="4">
        <v>522</v>
      </c>
      <c r="N357" t="s">
        <v>30</v>
      </c>
      <c r="O357" t="s">
        <v>31</v>
      </c>
      <c r="P357" s="4" t="str">
        <f t="shared" si="5"/>
        <v>OK</v>
      </c>
    </row>
    <row r="358" spans="1:16">
      <c r="A358" t="s">
        <v>739</v>
      </c>
      <c r="B358" t="s">
        <v>740</v>
      </c>
      <c r="C358" t="s">
        <v>122</v>
      </c>
      <c r="D358" t="s">
        <v>28</v>
      </c>
      <c r="E358" s="1">
        <v>22.28</v>
      </c>
      <c r="F358" s="1">
        <v>15.96</v>
      </c>
      <c r="G358" s="1">
        <v>6.32</v>
      </c>
      <c r="H358" s="2">
        <v>0.28370000000000001</v>
      </c>
      <c r="I358" t="s">
        <v>29</v>
      </c>
      <c r="J358" s="4">
        <v>41</v>
      </c>
      <c r="K358" s="4">
        <v>15</v>
      </c>
      <c r="L358" s="4">
        <v>455</v>
      </c>
      <c r="M358" s="4">
        <v>496</v>
      </c>
      <c r="N358" t="s">
        <v>30</v>
      </c>
      <c r="O358" t="s">
        <v>31</v>
      </c>
      <c r="P358" s="4" t="str">
        <f t="shared" si="5"/>
        <v>OK</v>
      </c>
    </row>
    <row r="359" spans="1:16">
      <c r="A359" t="s">
        <v>741</v>
      </c>
      <c r="B359" t="s">
        <v>742</v>
      </c>
      <c r="C359" t="s">
        <v>27</v>
      </c>
      <c r="D359" t="s">
        <v>28</v>
      </c>
      <c r="E359" s="1">
        <v>88.74</v>
      </c>
      <c r="F359" s="1">
        <v>49.8</v>
      </c>
      <c r="G359" s="1">
        <v>38.94</v>
      </c>
      <c r="H359" s="2">
        <v>0.43880000000000002</v>
      </c>
      <c r="I359" t="s">
        <v>29</v>
      </c>
      <c r="J359" s="4">
        <v>84</v>
      </c>
      <c r="K359" s="4">
        <v>15</v>
      </c>
      <c r="L359" s="4">
        <v>363</v>
      </c>
      <c r="M359" s="4">
        <v>447</v>
      </c>
      <c r="N359" t="s">
        <v>30</v>
      </c>
      <c r="O359" t="s">
        <v>31</v>
      </c>
      <c r="P359" s="4" t="str">
        <f t="shared" si="5"/>
        <v>OK</v>
      </c>
    </row>
    <row r="360" spans="1:16">
      <c r="A360" t="s">
        <v>743</v>
      </c>
      <c r="B360" t="s">
        <v>744</v>
      </c>
      <c r="C360" t="s">
        <v>27</v>
      </c>
      <c r="D360" t="s">
        <v>28</v>
      </c>
      <c r="E360" s="1">
        <v>18.53</v>
      </c>
      <c r="F360" s="1">
        <v>6.76</v>
      </c>
      <c r="G360" s="1">
        <v>11.77</v>
      </c>
      <c r="H360" s="2">
        <v>0.63519999999999999</v>
      </c>
      <c r="I360" t="s">
        <v>29</v>
      </c>
      <c r="J360" s="4">
        <v>92</v>
      </c>
      <c r="K360" s="4">
        <v>15</v>
      </c>
      <c r="L360" s="4">
        <v>388</v>
      </c>
      <c r="M360" s="4">
        <v>480</v>
      </c>
      <c r="N360" t="s">
        <v>30</v>
      </c>
      <c r="O360" t="s">
        <v>31</v>
      </c>
      <c r="P360" s="4" t="str">
        <f t="shared" si="5"/>
        <v>OK</v>
      </c>
    </row>
    <row r="361" spans="1:16">
      <c r="A361" t="s">
        <v>745</v>
      </c>
      <c r="B361" t="s">
        <v>746</v>
      </c>
      <c r="C361" t="s">
        <v>281</v>
      </c>
      <c r="D361" t="s">
        <v>28</v>
      </c>
      <c r="E361" s="1">
        <v>29.96</v>
      </c>
      <c r="F361" s="1">
        <v>17.03</v>
      </c>
      <c r="G361" s="1">
        <v>12.93</v>
      </c>
      <c r="H361" s="2">
        <v>0.43159999999999998</v>
      </c>
      <c r="I361" t="s">
        <v>29</v>
      </c>
      <c r="J361" s="4">
        <v>85</v>
      </c>
      <c r="K361" s="4">
        <v>15</v>
      </c>
      <c r="L361" s="4">
        <v>339</v>
      </c>
      <c r="M361" s="4">
        <v>424</v>
      </c>
      <c r="N361" t="s">
        <v>30</v>
      </c>
      <c r="O361" t="s">
        <v>31</v>
      </c>
      <c r="P361" s="4" t="str">
        <f t="shared" si="5"/>
        <v>OK</v>
      </c>
    </row>
    <row r="362" spans="1:16">
      <c r="A362" t="s">
        <v>747</v>
      </c>
      <c r="B362" t="s">
        <v>748</v>
      </c>
      <c r="C362" t="s">
        <v>27</v>
      </c>
      <c r="D362" t="s">
        <v>28</v>
      </c>
      <c r="E362" s="1">
        <v>23.61</v>
      </c>
      <c r="F362" s="1">
        <v>13.46</v>
      </c>
      <c r="G362" s="1">
        <v>10.15</v>
      </c>
      <c r="H362" s="2">
        <v>0.4299</v>
      </c>
      <c r="I362" t="s">
        <v>29</v>
      </c>
      <c r="J362" s="4">
        <v>43</v>
      </c>
      <c r="K362" s="4">
        <v>15</v>
      </c>
      <c r="L362" s="4">
        <v>232</v>
      </c>
      <c r="M362" s="4">
        <v>275</v>
      </c>
      <c r="N362" t="s">
        <v>30</v>
      </c>
      <c r="O362" t="s">
        <v>31</v>
      </c>
      <c r="P362" s="4" t="str">
        <f t="shared" si="5"/>
        <v>OK</v>
      </c>
    </row>
    <row r="363" spans="1:16">
      <c r="A363" t="s">
        <v>749</v>
      </c>
      <c r="B363" t="s">
        <v>750</v>
      </c>
      <c r="C363" t="s">
        <v>27</v>
      </c>
      <c r="D363" t="s">
        <v>28</v>
      </c>
      <c r="E363" s="1">
        <v>33.1</v>
      </c>
      <c r="F363" s="1">
        <v>23.49</v>
      </c>
      <c r="G363" s="1">
        <v>9.61</v>
      </c>
      <c r="H363" s="2">
        <v>0.2903</v>
      </c>
      <c r="I363" t="s">
        <v>29</v>
      </c>
      <c r="J363" s="4">
        <v>32</v>
      </c>
      <c r="K363" s="4">
        <v>15</v>
      </c>
      <c r="L363" s="4">
        <v>126</v>
      </c>
      <c r="M363" s="4">
        <v>158</v>
      </c>
      <c r="N363" t="s">
        <v>30</v>
      </c>
      <c r="O363" t="s">
        <v>31</v>
      </c>
      <c r="P363" s="4" t="str">
        <f t="shared" si="5"/>
        <v>OK</v>
      </c>
    </row>
    <row r="364" spans="1:16">
      <c r="A364" t="s">
        <v>751</v>
      </c>
      <c r="B364" t="s">
        <v>752</v>
      </c>
      <c r="C364" t="s">
        <v>27</v>
      </c>
      <c r="D364" t="s">
        <v>28</v>
      </c>
      <c r="E364" s="1">
        <v>44.14</v>
      </c>
      <c r="F364" s="1">
        <v>25.69</v>
      </c>
      <c r="G364" s="1">
        <v>18.45</v>
      </c>
      <c r="H364" s="2">
        <v>0.41799999999999998</v>
      </c>
      <c r="I364" t="s">
        <v>29</v>
      </c>
      <c r="J364" s="4">
        <v>20</v>
      </c>
      <c r="K364" s="4">
        <v>15</v>
      </c>
      <c r="L364" s="4">
        <v>423</v>
      </c>
      <c r="M364" s="4">
        <v>443</v>
      </c>
      <c r="N364" t="s">
        <v>30</v>
      </c>
      <c r="O364" t="s">
        <v>31</v>
      </c>
      <c r="P364" s="4" t="str">
        <f t="shared" si="5"/>
        <v>OK</v>
      </c>
    </row>
    <row r="365" spans="1:16">
      <c r="A365" t="s">
        <v>753</v>
      </c>
      <c r="B365" t="s">
        <v>754</v>
      </c>
      <c r="C365" t="s">
        <v>27</v>
      </c>
      <c r="D365" t="s">
        <v>28</v>
      </c>
      <c r="E365" s="1">
        <v>16.97</v>
      </c>
      <c r="F365" s="1">
        <v>9.3000000000000007</v>
      </c>
      <c r="G365" s="1">
        <v>7.67</v>
      </c>
      <c r="H365" s="2">
        <v>0.45200000000000001</v>
      </c>
      <c r="I365" t="s">
        <v>29</v>
      </c>
      <c r="J365" s="4">
        <v>50</v>
      </c>
      <c r="K365" s="4">
        <v>15</v>
      </c>
      <c r="L365" s="4">
        <v>15</v>
      </c>
      <c r="M365" s="4">
        <v>65</v>
      </c>
      <c r="N365" t="s">
        <v>30</v>
      </c>
      <c r="O365" t="s">
        <v>31</v>
      </c>
      <c r="P365" s="4" t="str">
        <f t="shared" si="5"/>
        <v>OK</v>
      </c>
    </row>
    <row r="366" spans="1:16">
      <c r="A366" t="s">
        <v>755</v>
      </c>
      <c r="B366" t="s">
        <v>756</v>
      </c>
      <c r="C366" t="s">
        <v>27</v>
      </c>
      <c r="D366" t="s">
        <v>28</v>
      </c>
      <c r="E366" s="1">
        <v>15.96</v>
      </c>
      <c r="F366" s="1">
        <v>7.59</v>
      </c>
      <c r="G366" s="1">
        <v>8.3699999999999992</v>
      </c>
      <c r="H366" s="2">
        <v>0.52439999999999998</v>
      </c>
      <c r="I366" t="s">
        <v>29</v>
      </c>
      <c r="J366" s="4">
        <v>74</v>
      </c>
      <c r="K366" s="4">
        <v>15</v>
      </c>
      <c r="L366" s="4">
        <v>413</v>
      </c>
      <c r="M366" s="4">
        <v>487</v>
      </c>
      <c r="N366" t="s">
        <v>30</v>
      </c>
      <c r="O366" t="s">
        <v>31</v>
      </c>
      <c r="P366" s="4" t="str">
        <f t="shared" si="5"/>
        <v>OK</v>
      </c>
    </row>
    <row r="367" spans="1:16">
      <c r="A367" t="s">
        <v>757</v>
      </c>
      <c r="B367" t="s">
        <v>758</v>
      </c>
      <c r="C367" t="s">
        <v>281</v>
      </c>
      <c r="D367" t="s">
        <v>28</v>
      </c>
      <c r="E367" s="1">
        <v>49.51</v>
      </c>
      <c r="F367" s="1">
        <v>31.63</v>
      </c>
      <c r="G367" s="1">
        <v>17.88</v>
      </c>
      <c r="H367" s="2">
        <v>0.36109999999999998</v>
      </c>
      <c r="I367" t="s">
        <v>29</v>
      </c>
      <c r="J367" s="4">
        <v>84</v>
      </c>
      <c r="K367" s="4">
        <v>15</v>
      </c>
      <c r="L367" s="4">
        <v>191</v>
      </c>
      <c r="M367" s="4">
        <v>275</v>
      </c>
      <c r="N367" t="s">
        <v>30</v>
      </c>
      <c r="O367" t="s">
        <v>31</v>
      </c>
      <c r="P367" s="4" t="str">
        <f t="shared" si="5"/>
        <v>OK</v>
      </c>
    </row>
    <row r="368" spans="1:16">
      <c r="A368" t="s">
        <v>759</v>
      </c>
      <c r="B368" t="s">
        <v>760</v>
      </c>
      <c r="C368" t="s">
        <v>27</v>
      </c>
      <c r="D368" t="s">
        <v>28</v>
      </c>
      <c r="E368" s="1">
        <v>21.19</v>
      </c>
      <c r="F368" s="1">
        <v>12.53</v>
      </c>
      <c r="G368" s="1">
        <v>8.66</v>
      </c>
      <c r="H368" s="2">
        <v>0.40869999999999995</v>
      </c>
      <c r="I368" t="s">
        <v>29</v>
      </c>
      <c r="J368" s="4">
        <v>51</v>
      </c>
      <c r="K368" s="4">
        <v>15</v>
      </c>
      <c r="L368" s="4">
        <v>145</v>
      </c>
      <c r="M368" s="4">
        <v>196</v>
      </c>
      <c r="N368" t="s">
        <v>30</v>
      </c>
      <c r="O368" t="s">
        <v>31</v>
      </c>
      <c r="P368" s="4" t="str">
        <f t="shared" si="5"/>
        <v>OK</v>
      </c>
    </row>
    <row r="369" spans="1:16">
      <c r="A369" t="s">
        <v>761</v>
      </c>
      <c r="B369" t="s">
        <v>762</v>
      </c>
      <c r="C369" t="s">
        <v>27</v>
      </c>
      <c r="D369" t="s">
        <v>28</v>
      </c>
      <c r="E369" s="1">
        <v>15.76</v>
      </c>
      <c r="F369" s="1">
        <v>10.68</v>
      </c>
      <c r="G369" s="1">
        <v>5.08</v>
      </c>
      <c r="H369" s="2">
        <v>0.32229999999999998</v>
      </c>
      <c r="I369" t="s">
        <v>29</v>
      </c>
      <c r="J369" s="4">
        <v>78</v>
      </c>
      <c r="K369" s="4">
        <v>15</v>
      </c>
      <c r="L369" s="4">
        <v>390</v>
      </c>
      <c r="M369" s="4">
        <v>468</v>
      </c>
      <c r="N369" t="s">
        <v>30</v>
      </c>
      <c r="O369" t="s">
        <v>31</v>
      </c>
      <c r="P369" s="4" t="str">
        <f t="shared" si="5"/>
        <v>OK</v>
      </c>
    </row>
    <row r="370" spans="1:16">
      <c r="A370" t="s">
        <v>763</v>
      </c>
      <c r="B370" t="s">
        <v>764</v>
      </c>
      <c r="C370" t="s">
        <v>64</v>
      </c>
      <c r="D370" t="s">
        <v>28</v>
      </c>
      <c r="E370" s="1">
        <v>28.16</v>
      </c>
      <c r="F370" s="1">
        <v>15.58</v>
      </c>
      <c r="G370" s="1">
        <v>12.58</v>
      </c>
      <c r="H370" s="2">
        <v>0.44670000000000004</v>
      </c>
      <c r="I370" t="s">
        <v>29</v>
      </c>
      <c r="J370" s="4">
        <v>68</v>
      </c>
      <c r="K370" s="4">
        <v>15</v>
      </c>
      <c r="L370" s="4">
        <v>300</v>
      </c>
      <c r="M370" s="4">
        <v>368</v>
      </c>
      <c r="N370" t="s">
        <v>30</v>
      </c>
      <c r="O370" t="s">
        <v>31</v>
      </c>
      <c r="P370" s="4" t="str">
        <f t="shared" si="5"/>
        <v>OK</v>
      </c>
    </row>
    <row r="371" spans="1:16">
      <c r="A371" t="s">
        <v>765</v>
      </c>
      <c r="B371" t="s">
        <v>766</v>
      </c>
      <c r="C371" t="s">
        <v>27</v>
      </c>
      <c r="D371" t="s">
        <v>28</v>
      </c>
      <c r="E371" s="1">
        <v>23.44</v>
      </c>
      <c r="F371" s="1">
        <v>13.91</v>
      </c>
      <c r="G371" s="1">
        <v>9.5299999999999994</v>
      </c>
      <c r="H371" s="2">
        <v>0.40659999999999996</v>
      </c>
      <c r="I371" t="s">
        <v>29</v>
      </c>
      <c r="J371" s="4">
        <v>1</v>
      </c>
      <c r="K371" s="4">
        <v>15</v>
      </c>
      <c r="L371" s="4">
        <v>497</v>
      </c>
      <c r="M371" s="4">
        <v>498</v>
      </c>
      <c r="N371" t="s">
        <v>73</v>
      </c>
      <c r="O371" t="s">
        <v>31</v>
      </c>
      <c r="P371" s="4" t="str">
        <f t="shared" si="5"/>
        <v>OK</v>
      </c>
    </row>
    <row r="372" spans="1:16">
      <c r="A372" t="s">
        <v>767</v>
      </c>
      <c r="B372" t="s">
        <v>768</v>
      </c>
      <c r="C372" t="s">
        <v>27</v>
      </c>
      <c r="D372" t="s">
        <v>28</v>
      </c>
      <c r="E372" s="1">
        <v>13.83</v>
      </c>
      <c r="F372" s="1">
        <v>6.82</v>
      </c>
      <c r="G372" s="1">
        <v>7.01</v>
      </c>
      <c r="H372" s="2">
        <v>0.50690000000000002</v>
      </c>
      <c r="I372" t="s">
        <v>29</v>
      </c>
      <c r="J372" s="4">
        <v>36</v>
      </c>
      <c r="K372" s="4">
        <v>15</v>
      </c>
      <c r="L372" s="4">
        <v>86</v>
      </c>
      <c r="M372" s="4">
        <v>122</v>
      </c>
      <c r="N372" t="s">
        <v>30</v>
      </c>
      <c r="O372" t="s">
        <v>31</v>
      </c>
      <c r="P372" s="4" t="str">
        <f t="shared" si="5"/>
        <v>OK</v>
      </c>
    </row>
    <row r="373" spans="1:16">
      <c r="A373" t="s">
        <v>769</v>
      </c>
      <c r="B373" t="s">
        <v>770</v>
      </c>
      <c r="C373" t="s">
        <v>281</v>
      </c>
      <c r="D373" t="s">
        <v>28</v>
      </c>
      <c r="E373" s="1">
        <v>25.15</v>
      </c>
      <c r="F373" s="1">
        <v>7.99</v>
      </c>
      <c r="G373" s="1">
        <v>17.16</v>
      </c>
      <c r="H373" s="2">
        <v>0.68230000000000002</v>
      </c>
      <c r="I373" t="s">
        <v>29</v>
      </c>
      <c r="J373" s="4">
        <v>18</v>
      </c>
      <c r="K373" s="4">
        <v>15</v>
      </c>
      <c r="L373" s="4">
        <v>26</v>
      </c>
      <c r="M373" s="4">
        <v>44</v>
      </c>
      <c r="N373" t="s">
        <v>30</v>
      </c>
      <c r="O373" t="s">
        <v>31</v>
      </c>
      <c r="P373" s="4" t="str">
        <f t="shared" si="5"/>
        <v>OK</v>
      </c>
    </row>
    <row r="374" spans="1:16">
      <c r="A374" t="s">
        <v>771</v>
      </c>
      <c r="B374" t="s">
        <v>772</v>
      </c>
      <c r="C374" t="s">
        <v>27</v>
      </c>
      <c r="D374" t="s">
        <v>28</v>
      </c>
      <c r="E374" s="1">
        <v>28.5</v>
      </c>
      <c r="F374" s="1">
        <v>16.059999999999999</v>
      </c>
      <c r="G374" s="1">
        <v>12.44</v>
      </c>
      <c r="H374" s="2">
        <v>0.4365</v>
      </c>
      <c r="I374" t="s">
        <v>29</v>
      </c>
      <c r="J374" s="4">
        <v>2</v>
      </c>
      <c r="K374" s="4">
        <v>15</v>
      </c>
      <c r="L374" s="4">
        <v>251</v>
      </c>
      <c r="M374" s="4">
        <v>253</v>
      </c>
      <c r="N374" t="s">
        <v>73</v>
      </c>
      <c r="O374" t="s">
        <v>31</v>
      </c>
      <c r="P374" s="4" t="str">
        <f t="shared" si="5"/>
        <v>OK</v>
      </c>
    </row>
    <row r="375" spans="1:16">
      <c r="A375" t="s">
        <v>773</v>
      </c>
      <c r="B375" t="s">
        <v>774</v>
      </c>
      <c r="C375" t="s">
        <v>27</v>
      </c>
      <c r="D375" t="s">
        <v>28</v>
      </c>
      <c r="E375" s="1">
        <v>10.6</v>
      </c>
      <c r="F375" s="1">
        <v>7.37</v>
      </c>
      <c r="G375" s="1">
        <v>3.23</v>
      </c>
      <c r="H375" s="2">
        <v>0.30469999999999997</v>
      </c>
      <c r="I375" t="s">
        <v>29</v>
      </c>
      <c r="J375" s="4">
        <v>4</v>
      </c>
      <c r="K375" s="4">
        <v>15</v>
      </c>
      <c r="L375" s="4">
        <v>386</v>
      </c>
      <c r="M375" s="4">
        <v>390</v>
      </c>
      <c r="N375" t="s">
        <v>73</v>
      </c>
      <c r="O375" t="s">
        <v>31</v>
      </c>
      <c r="P375" s="4" t="str">
        <f t="shared" si="5"/>
        <v>OK</v>
      </c>
    </row>
    <row r="376" spans="1:16">
      <c r="A376" t="s">
        <v>775</v>
      </c>
      <c r="B376" t="s">
        <v>776</v>
      </c>
      <c r="C376" t="s">
        <v>39</v>
      </c>
      <c r="D376" t="s">
        <v>28</v>
      </c>
      <c r="E376" s="1">
        <v>14.48</v>
      </c>
      <c r="F376" s="1">
        <v>7.47</v>
      </c>
      <c r="G376" s="1">
        <v>7.01</v>
      </c>
      <c r="H376" s="2">
        <v>0.48409999999999997</v>
      </c>
      <c r="I376" t="s">
        <v>29</v>
      </c>
      <c r="J376" s="4">
        <v>91</v>
      </c>
      <c r="K376" s="4">
        <v>15</v>
      </c>
      <c r="L376" s="4">
        <v>90</v>
      </c>
      <c r="M376" s="4">
        <v>181</v>
      </c>
      <c r="N376" t="s">
        <v>30</v>
      </c>
      <c r="O376" t="s">
        <v>31</v>
      </c>
      <c r="P376" s="4" t="str">
        <f t="shared" si="5"/>
        <v>OK</v>
      </c>
    </row>
    <row r="377" spans="1:16">
      <c r="A377" t="s">
        <v>777</v>
      </c>
      <c r="B377" t="s">
        <v>778</v>
      </c>
      <c r="C377" t="s">
        <v>27</v>
      </c>
      <c r="D377" t="s">
        <v>28</v>
      </c>
      <c r="E377" s="1">
        <v>17.12</v>
      </c>
      <c r="F377" s="1">
        <v>12.1</v>
      </c>
      <c r="G377" s="1">
        <v>5.0199999999999996</v>
      </c>
      <c r="H377" s="2">
        <v>0.29320000000000002</v>
      </c>
      <c r="I377" t="s">
        <v>29</v>
      </c>
      <c r="J377" s="4">
        <v>67</v>
      </c>
      <c r="K377" s="4">
        <v>15</v>
      </c>
      <c r="L377" s="4">
        <v>500</v>
      </c>
      <c r="M377" s="4">
        <v>567</v>
      </c>
      <c r="N377" t="s">
        <v>30</v>
      </c>
      <c r="O377" t="s">
        <v>31</v>
      </c>
      <c r="P377" s="4" t="str">
        <f t="shared" si="5"/>
        <v>OK</v>
      </c>
    </row>
    <row r="378" spans="1:16">
      <c r="A378" t="s">
        <v>779</v>
      </c>
      <c r="B378" t="s">
        <v>780</v>
      </c>
      <c r="C378" t="s">
        <v>27</v>
      </c>
      <c r="D378" t="s">
        <v>28</v>
      </c>
      <c r="E378" s="1">
        <v>16.829999999999998</v>
      </c>
      <c r="F378" s="1">
        <v>10.029999999999999</v>
      </c>
      <c r="G378" s="1">
        <v>6.8</v>
      </c>
      <c r="H378" s="2">
        <v>0.40399999999999997</v>
      </c>
      <c r="I378" t="s">
        <v>29</v>
      </c>
      <c r="J378" s="4">
        <v>52</v>
      </c>
      <c r="K378" s="4">
        <v>15</v>
      </c>
      <c r="L378" s="4">
        <v>37</v>
      </c>
      <c r="M378" s="4">
        <v>89</v>
      </c>
      <c r="N378" t="s">
        <v>30</v>
      </c>
      <c r="O378" t="s">
        <v>31</v>
      </c>
      <c r="P378" s="4" t="str">
        <f t="shared" si="5"/>
        <v>OK</v>
      </c>
    </row>
    <row r="379" spans="1:16">
      <c r="A379" t="s">
        <v>781</v>
      </c>
      <c r="B379" t="s">
        <v>782</v>
      </c>
      <c r="C379" t="s">
        <v>34</v>
      </c>
      <c r="D379" t="s">
        <v>28</v>
      </c>
      <c r="E379" s="1">
        <v>249</v>
      </c>
      <c r="F379" s="1">
        <v>100.64</v>
      </c>
      <c r="G379" s="1">
        <v>148.36000000000001</v>
      </c>
      <c r="H379" s="2">
        <v>0.5958</v>
      </c>
      <c r="I379" t="s">
        <v>29</v>
      </c>
      <c r="J379" s="4">
        <v>11</v>
      </c>
      <c r="K379" s="4">
        <v>15</v>
      </c>
      <c r="L379" s="4">
        <v>196</v>
      </c>
      <c r="M379" s="4">
        <v>207</v>
      </c>
      <c r="N379" t="s">
        <v>73</v>
      </c>
      <c r="O379" t="s">
        <v>31</v>
      </c>
      <c r="P379" s="4" t="str">
        <f t="shared" si="5"/>
        <v>OK</v>
      </c>
    </row>
    <row r="380" spans="1:16">
      <c r="A380" t="s">
        <v>783</v>
      </c>
      <c r="B380" t="s">
        <v>784</v>
      </c>
      <c r="C380" t="s">
        <v>27</v>
      </c>
      <c r="D380" t="s">
        <v>28</v>
      </c>
      <c r="E380" s="1">
        <v>12.58</v>
      </c>
      <c r="F380" s="1">
        <v>9.33</v>
      </c>
      <c r="G380" s="1">
        <v>3.25</v>
      </c>
      <c r="H380" s="2">
        <v>0.25829999999999997</v>
      </c>
      <c r="I380" t="s">
        <v>29</v>
      </c>
      <c r="J380" s="4">
        <v>91</v>
      </c>
      <c r="K380" s="4">
        <v>15</v>
      </c>
      <c r="L380" s="4">
        <v>259</v>
      </c>
      <c r="M380" s="4">
        <v>350</v>
      </c>
      <c r="N380" t="s">
        <v>30</v>
      </c>
      <c r="O380" t="s">
        <v>31</v>
      </c>
      <c r="P380" s="4" t="str">
        <f t="shared" si="5"/>
        <v>OK</v>
      </c>
    </row>
    <row r="381" spans="1:16">
      <c r="A381" t="s">
        <v>785</v>
      </c>
      <c r="B381" t="s">
        <v>786</v>
      </c>
      <c r="C381" t="s">
        <v>27</v>
      </c>
      <c r="D381" t="s">
        <v>28</v>
      </c>
      <c r="E381" s="1">
        <v>19.32</v>
      </c>
      <c r="F381" s="1">
        <v>11.7</v>
      </c>
      <c r="G381" s="1">
        <v>7.62</v>
      </c>
      <c r="H381" s="2">
        <v>0.39439999999999997</v>
      </c>
      <c r="I381" t="s">
        <v>29</v>
      </c>
      <c r="J381" s="4">
        <v>99</v>
      </c>
      <c r="K381" s="4">
        <v>15</v>
      </c>
      <c r="L381" s="4">
        <v>50</v>
      </c>
      <c r="M381" s="4">
        <v>149</v>
      </c>
      <c r="N381" t="s">
        <v>30</v>
      </c>
      <c r="O381" t="s">
        <v>31</v>
      </c>
      <c r="P381" s="4" t="str">
        <f t="shared" si="5"/>
        <v>OK</v>
      </c>
    </row>
    <row r="382" spans="1:16">
      <c r="A382" t="s">
        <v>787</v>
      </c>
      <c r="B382" t="s">
        <v>788</v>
      </c>
      <c r="C382" t="s">
        <v>78</v>
      </c>
      <c r="D382" t="s">
        <v>28</v>
      </c>
      <c r="E382" s="1">
        <v>37.75</v>
      </c>
      <c r="F382" s="1">
        <v>24.3</v>
      </c>
      <c r="G382" s="1">
        <v>13.45</v>
      </c>
      <c r="H382" s="2">
        <v>0.35630000000000001</v>
      </c>
      <c r="I382" t="s">
        <v>29</v>
      </c>
      <c r="J382" s="4">
        <v>89</v>
      </c>
      <c r="K382" s="4">
        <v>15</v>
      </c>
      <c r="L382" s="4">
        <v>249</v>
      </c>
      <c r="M382" s="4">
        <v>338</v>
      </c>
      <c r="N382" t="s">
        <v>30</v>
      </c>
      <c r="O382" t="s">
        <v>31</v>
      </c>
      <c r="P382" s="4" t="str">
        <f t="shared" si="5"/>
        <v>OK</v>
      </c>
    </row>
    <row r="383" spans="1:16">
      <c r="A383" t="s">
        <v>789</v>
      </c>
      <c r="B383" t="s">
        <v>790</v>
      </c>
      <c r="C383" t="s">
        <v>39</v>
      </c>
      <c r="D383" t="s">
        <v>28</v>
      </c>
      <c r="E383" s="1">
        <v>40.619999999999997</v>
      </c>
      <c r="F383" s="1">
        <v>29.24</v>
      </c>
      <c r="G383" s="1">
        <v>11.38</v>
      </c>
      <c r="H383" s="2">
        <v>0.2802</v>
      </c>
      <c r="I383" t="s">
        <v>29</v>
      </c>
      <c r="J383" s="4">
        <v>37</v>
      </c>
      <c r="K383" s="4">
        <v>15</v>
      </c>
      <c r="L383" s="4">
        <v>387</v>
      </c>
      <c r="M383" s="4">
        <v>424</v>
      </c>
      <c r="N383" t="s">
        <v>30</v>
      </c>
      <c r="O383" t="s">
        <v>31</v>
      </c>
      <c r="P383" s="4" t="str">
        <f t="shared" si="5"/>
        <v>OK</v>
      </c>
    </row>
    <row r="384" spans="1:16">
      <c r="A384" t="s">
        <v>791</v>
      </c>
      <c r="B384" t="s">
        <v>792</v>
      </c>
      <c r="C384" t="s">
        <v>39</v>
      </c>
      <c r="D384" t="s">
        <v>28</v>
      </c>
      <c r="E384" s="1">
        <v>23.82</v>
      </c>
      <c r="F384" s="1">
        <v>9.6300000000000008</v>
      </c>
      <c r="G384" s="1">
        <v>14.19</v>
      </c>
      <c r="H384" s="2">
        <v>0.59570000000000001</v>
      </c>
      <c r="I384" t="s">
        <v>29</v>
      </c>
      <c r="J384" s="4">
        <v>91</v>
      </c>
      <c r="K384" s="4">
        <v>15</v>
      </c>
      <c r="L384" s="4">
        <v>321</v>
      </c>
      <c r="M384" s="4">
        <v>412</v>
      </c>
      <c r="N384" t="s">
        <v>30</v>
      </c>
      <c r="O384" t="s">
        <v>31</v>
      </c>
      <c r="P384" s="4" t="str">
        <f t="shared" si="5"/>
        <v>OK</v>
      </c>
    </row>
    <row r="385" spans="1:16">
      <c r="A385" t="s">
        <v>793</v>
      </c>
      <c r="B385" t="s">
        <v>794</v>
      </c>
      <c r="C385" t="s">
        <v>34</v>
      </c>
      <c r="D385" t="s">
        <v>28</v>
      </c>
      <c r="E385" s="1">
        <v>142.61000000000001</v>
      </c>
      <c r="F385" s="1">
        <v>93.85</v>
      </c>
      <c r="G385" s="1">
        <v>48.76</v>
      </c>
      <c r="H385" s="2">
        <v>0.34189999999999998</v>
      </c>
      <c r="I385" t="s">
        <v>29</v>
      </c>
      <c r="J385" s="4">
        <v>89</v>
      </c>
      <c r="K385" s="4">
        <v>15</v>
      </c>
      <c r="L385" s="4">
        <v>254</v>
      </c>
      <c r="M385" s="4">
        <v>343</v>
      </c>
      <c r="N385" t="s">
        <v>30</v>
      </c>
      <c r="O385" t="s">
        <v>31</v>
      </c>
      <c r="P385" s="4" t="str">
        <f t="shared" si="5"/>
        <v>OK</v>
      </c>
    </row>
    <row r="386" spans="1:16">
      <c r="A386" t="s">
        <v>795</v>
      </c>
      <c r="B386" t="s">
        <v>796</v>
      </c>
      <c r="C386" t="s">
        <v>39</v>
      </c>
      <c r="D386" t="s">
        <v>28</v>
      </c>
      <c r="F386" s="1">
        <v>16.559999999999999</v>
      </c>
      <c r="H386" s="1"/>
      <c r="I386" t="s">
        <v>18</v>
      </c>
      <c r="J386" s="4">
        <v>65</v>
      </c>
      <c r="K386" s="4">
        <v>15</v>
      </c>
      <c r="L386" s="4">
        <v>480</v>
      </c>
      <c r="M386" s="4">
        <v>545</v>
      </c>
      <c r="N386" t="s">
        <v>30</v>
      </c>
      <c r="O386" t="s">
        <v>31</v>
      </c>
      <c r="P386" s="4" t="str">
        <f t="shared" ref="P386:P449" si="6">IF(COUNTIF($B$2:$B$506, B386)&gt;1, "DUPLICATE", "OK")</f>
        <v>OK</v>
      </c>
    </row>
    <row r="387" spans="1:16">
      <c r="A387" t="s">
        <v>797</v>
      </c>
      <c r="B387" t="s">
        <v>798</v>
      </c>
      <c r="C387" t="s">
        <v>39</v>
      </c>
      <c r="D387" t="s">
        <v>28</v>
      </c>
      <c r="E387" s="1">
        <v>26.74</v>
      </c>
      <c r="F387" s="1">
        <v>15.3</v>
      </c>
      <c r="G387" s="1">
        <v>11.44</v>
      </c>
      <c r="H387" s="2">
        <v>0.42780000000000001</v>
      </c>
      <c r="I387" t="s">
        <v>29</v>
      </c>
      <c r="J387" s="4">
        <v>52</v>
      </c>
      <c r="K387" s="4">
        <v>15</v>
      </c>
      <c r="L387" s="4">
        <v>432</v>
      </c>
      <c r="M387" s="4">
        <v>484</v>
      </c>
      <c r="N387" t="s">
        <v>30</v>
      </c>
      <c r="O387" t="s">
        <v>31</v>
      </c>
      <c r="P387" s="4" t="str">
        <f t="shared" si="6"/>
        <v>OK</v>
      </c>
    </row>
    <row r="388" spans="1:16">
      <c r="A388" t="s">
        <v>799</v>
      </c>
      <c r="B388" t="s">
        <v>800</v>
      </c>
      <c r="C388" t="s">
        <v>85</v>
      </c>
      <c r="D388" t="s">
        <v>28</v>
      </c>
      <c r="E388" s="1">
        <v>17.03</v>
      </c>
      <c r="F388" s="1">
        <v>8.3000000000000007</v>
      </c>
      <c r="G388" s="1">
        <v>8.73</v>
      </c>
      <c r="H388" s="2">
        <v>0.51259999999999994</v>
      </c>
      <c r="I388" t="s">
        <v>29</v>
      </c>
      <c r="J388" s="4">
        <v>3</v>
      </c>
      <c r="K388" s="4">
        <v>15</v>
      </c>
      <c r="L388" s="4">
        <v>462</v>
      </c>
      <c r="M388" s="4">
        <v>465</v>
      </c>
      <c r="N388" t="s">
        <v>73</v>
      </c>
      <c r="O388" t="s">
        <v>31</v>
      </c>
      <c r="P388" s="4" t="str">
        <f t="shared" si="6"/>
        <v>OK</v>
      </c>
    </row>
    <row r="389" spans="1:16">
      <c r="A389" t="s">
        <v>801</v>
      </c>
      <c r="B389" t="s">
        <v>802</v>
      </c>
      <c r="C389" t="s">
        <v>39</v>
      </c>
      <c r="D389" t="s">
        <v>28</v>
      </c>
      <c r="E389" s="1">
        <v>31.26</v>
      </c>
      <c r="F389" s="1">
        <v>22.01</v>
      </c>
      <c r="G389" s="1">
        <v>9.25</v>
      </c>
      <c r="H389" s="2">
        <v>0.2959</v>
      </c>
      <c r="I389" t="s">
        <v>29</v>
      </c>
      <c r="J389" s="4">
        <v>43</v>
      </c>
      <c r="K389" s="4">
        <v>15</v>
      </c>
      <c r="L389" s="4">
        <v>332</v>
      </c>
      <c r="M389" s="4">
        <v>375</v>
      </c>
      <c r="N389" t="s">
        <v>30</v>
      </c>
      <c r="O389" t="s">
        <v>31</v>
      </c>
      <c r="P389" s="4" t="str">
        <f t="shared" si="6"/>
        <v>OK</v>
      </c>
    </row>
    <row r="390" spans="1:16">
      <c r="A390" t="s">
        <v>803</v>
      </c>
      <c r="B390" t="s">
        <v>804</v>
      </c>
      <c r="C390" t="s">
        <v>39</v>
      </c>
      <c r="D390" t="s">
        <v>28</v>
      </c>
      <c r="E390" s="1">
        <v>48.25</v>
      </c>
      <c r="F390" s="1">
        <v>35.54</v>
      </c>
      <c r="G390" s="1">
        <v>12.71</v>
      </c>
      <c r="H390" s="2">
        <v>0.26340000000000002</v>
      </c>
      <c r="I390" t="s">
        <v>29</v>
      </c>
      <c r="J390" s="4">
        <v>18</v>
      </c>
      <c r="K390" s="4">
        <v>15</v>
      </c>
      <c r="L390" s="4">
        <v>172</v>
      </c>
      <c r="M390" s="4">
        <v>190</v>
      </c>
      <c r="N390" t="s">
        <v>30</v>
      </c>
      <c r="O390" t="s">
        <v>31</v>
      </c>
      <c r="P390" s="4" t="str">
        <f t="shared" si="6"/>
        <v>OK</v>
      </c>
    </row>
    <row r="391" spans="1:16">
      <c r="A391" t="s">
        <v>805</v>
      </c>
      <c r="B391" t="s">
        <v>806</v>
      </c>
      <c r="C391" t="s">
        <v>78</v>
      </c>
      <c r="D391" t="s">
        <v>28</v>
      </c>
      <c r="E391" s="1">
        <v>147.54</v>
      </c>
      <c r="F391" s="1">
        <v>89.15</v>
      </c>
      <c r="G391" s="1">
        <v>58.39</v>
      </c>
      <c r="H391" s="2">
        <v>0.39579999999999999</v>
      </c>
      <c r="I391" t="s">
        <v>29</v>
      </c>
      <c r="J391" s="4">
        <v>100</v>
      </c>
      <c r="K391" s="4">
        <v>15</v>
      </c>
      <c r="L391" s="4">
        <v>90</v>
      </c>
      <c r="M391" s="4">
        <v>190</v>
      </c>
      <c r="N391" t="s">
        <v>30</v>
      </c>
      <c r="O391" t="s">
        <v>31</v>
      </c>
      <c r="P391" s="4" t="str">
        <f t="shared" si="6"/>
        <v>OK</v>
      </c>
    </row>
    <row r="392" spans="1:16">
      <c r="A392" t="s">
        <v>807</v>
      </c>
      <c r="B392" t="s">
        <v>808</v>
      </c>
      <c r="C392" t="s">
        <v>39</v>
      </c>
      <c r="D392" t="s">
        <v>28</v>
      </c>
      <c r="E392" s="1">
        <v>25.54</v>
      </c>
      <c r="F392" s="1">
        <v>10.37</v>
      </c>
      <c r="G392" s="1">
        <v>15.17</v>
      </c>
      <c r="H392" s="2">
        <v>0.59399999999999997</v>
      </c>
      <c r="I392" t="s">
        <v>29</v>
      </c>
      <c r="J392" s="4">
        <v>66</v>
      </c>
      <c r="K392" s="4">
        <v>15</v>
      </c>
      <c r="L392" s="4">
        <v>373</v>
      </c>
      <c r="M392" s="4">
        <v>439</v>
      </c>
      <c r="N392" t="s">
        <v>30</v>
      </c>
      <c r="O392" t="s">
        <v>31</v>
      </c>
      <c r="P392" s="4" t="str">
        <f t="shared" si="6"/>
        <v>OK</v>
      </c>
    </row>
    <row r="393" spans="1:16">
      <c r="A393" t="s">
        <v>809</v>
      </c>
      <c r="B393" t="s">
        <v>810</v>
      </c>
      <c r="C393" t="s">
        <v>39</v>
      </c>
      <c r="D393" t="s">
        <v>28</v>
      </c>
      <c r="E393" s="1">
        <v>26.21</v>
      </c>
      <c r="F393" s="1">
        <v>16.27</v>
      </c>
      <c r="G393" s="1">
        <v>9.94</v>
      </c>
      <c r="H393" s="2">
        <v>0.37920000000000004</v>
      </c>
      <c r="I393" t="s">
        <v>29</v>
      </c>
      <c r="J393" s="4">
        <v>68</v>
      </c>
      <c r="K393" s="4">
        <v>15</v>
      </c>
      <c r="L393" s="4">
        <v>27</v>
      </c>
      <c r="M393" s="4">
        <v>95</v>
      </c>
      <c r="N393" t="s">
        <v>30</v>
      </c>
      <c r="O393" t="s">
        <v>31</v>
      </c>
      <c r="P393" s="4" t="str">
        <f t="shared" si="6"/>
        <v>OK</v>
      </c>
    </row>
    <row r="394" spans="1:16">
      <c r="A394" t="s">
        <v>811</v>
      </c>
      <c r="B394" t="s">
        <v>465</v>
      </c>
      <c r="C394" t="s">
        <v>34</v>
      </c>
      <c r="D394" t="s">
        <v>28</v>
      </c>
      <c r="E394" s="1">
        <v>96.36</v>
      </c>
      <c r="F394" s="1">
        <v>58.86</v>
      </c>
      <c r="G394" s="1">
        <v>37.5</v>
      </c>
      <c r="H394" s="2">
        <v>0.38919999999999999</v>
      </c>
      <c r="I394" t="s">
        <v>29</v>
      </c>
      <c r="J394" s="4">
        <v>100</v>
      </c>
      <c r="K394" s="4">
        <v>15</v>
      </c>
      <c r="L394" s="4">
        <v>364</v>
      </c>
      <c r="M394" s="4">
        <v>464</v>
      </c>
      <c r="N394" t="s">
        <v>30</v>
      </c>
      <c r="O394" t="s">
        <v>31</v>
      </c>
      <c r="P394" s="4" t="str">
        <f t="shared" si="6"/>
        <v>DUPLICATE</v>
      </c>
    </row>
    <row r="395" spans="1:16">
      <c r="A395" t="s">
        <v>812</v>
      </c>
      <c r="B395" t="s">
        <v>813</v>
      </c>
      <c r="C395" t="s">
        <v>144</v>
      </c>
      <c r="D395" t="s">
        <v>28</v>
      </c>
      <c r="E395" s="1">
        <v>23.09</v>
      </c>
      <c r="F395" s="1">
        <v>14.97</v>
      </c>
      <c r="G395" s="1">
        <v>8.1199999999999992</v>
      </c>
      <c r="H395" s="2">
        <v>0.35170000000000001</v>
      </c>
      <c r="I395" t="s">
        <v>29</v>
      </c>
      <c r="J395" s="4">
        <v>87</v>
      </c>
      <c r="K395" s="4">
        <v>15</v>
      </c>
      <c r="L395" s="4">
        <v>188</v>
      </c>
      <c r="M395" s="4">
        <v>275</v>
      </c>
      <c r="N395" t="s">
        <v>30</v>
      </c>
      <c r="O395" t="s">
        <v>31</v>
      </c>
      <c r="P395" s="4" t="str">
        <f t="shared" si="6"/>
        <v>OK</v>
      </c>
    </row>
    <row r="396" spans="1:16">
      <c r="A396" t="s">
        <v>814</v>
      </c>
      <c r="B396" t="s">
        <v>815</v>
      </c>
      <c r="C396" t="s">
        <v>39</v>
      </c>
      <c r="D396" t="s">
        <v>28</v>
      </c>
      <c r="E396" s="1">
        <v>59.87</v>
      </c>
      <c r="F396" s="1">
        <v>43.11</v>
      </c>
      <c r="G396" s="1">
        <v>16.760000000000002</v>
      </c>
      <c r="H396" s="2">
        <v>0.27989999999999998</v>
      </c>
      <c r="I396" t="s">
        <v>29</v>
      </c>
      <c r="J396" s="4">
        <v>53</v>
      </c>
      <c r="K396" s="4">
        <v>15</v>
      </c>
      <c r="L396" s="4">
        <v>71</v>
      </c>
      <c r="M396" s="4">
        <v>124</v>
      </c>
      <c r="N396" t="s">
        <v>30</v>
      </c>
      <c r="O396" t="s">
        <v>31</v>
      </c>
      <c r="P396" s="4" t="str">
        <f t="shared" si="6"/>
        <v>OK</v>
      </c>
    </row>
    <row r="397" spans="1:16">
      <c r="A397" t="s">
        <v>816</v>
      </c>
      <c r="B397" t="s">
        <v>817</v>
      </c>
      <c r="C397" t="s">
        <v>64</v>
      </c>
      <c r="D397" t="s">
        <v>28</v>
      </c>
      <c r="E397" s="1">
        <v>44.37</v>
      </c>
      <c r="F397" s="1">
        <v>16.25</v>
      </c>
      <c r="G397" s="1">
        <v>28.12</v>
      </c>
      <c r="H397" s="2">
        <v>0.63380000000000003</v>
      </c>
      <c r="I397" t="s">
        <v>29</v>
      </c>
      <c r="J397" s="4">
        <v>65</v>
      </c>
      <c r="K397" s="4">
        <v>15</v>
      </c>
      <c r="L397" s="4">
        <v>332</v>
      </c>
      <c r="M397" s="4">
        <v>397</v>
      </c>
      <c r="N397" t="s">
        <v>30</v>
      </c>
      <c r="O397" t="s">
        <v>31</v>
      </c>
      <c r="P397" s="4" t="str">
        <f t="shared" si="6"/>
        <v>OK</v>
      </c>
    </row>
    <row r="398" spans="1:16">
      <c r="A398" t="s">
        <v>818</v>
      </c>
      <c r="B398" t="s">
        <v>819</v>
      </c>
      <c r="C398" t="s">
        <v>39</v>
      </c>
      <c r="D398" t="s">
        <v>28</v>
      </c>
      <c r="E398" s="1">
        <v>15.61</v>
      </c>
      <c r="F398" s="1">
        <v>6.12</v>
      </c>
      <c r="G398" s="1">
        <v>9.49</v>
      </c>
      <c r="H398" s="2">
        <v>0.6079</v>
      </c>
      <c r="I398" t="s">
        <v>29</v>
      </c>
      <c r="J398" s="4">
        <v>85</v>
      </c>
      <c r="K398" s="4">
        <v>15</v>
      </c>
      <c r="L398" s="4">
        <v>351</v>
      </c>
      <c r="M398" s="4">
        <v>436</v>
      </c>
      <c r="N398" t="s">
        <v>30</v>
      </c>
      <c r="O398" t="s">
        <v>31</v>
      </c>
      <c r="P398" s="4" t="str">
        <f t="shared" si="6"/>
        <v>OK</v>
      </c>
    </row>
    <row r="399" spans="1:16">
      <c r="A399" t="s">
        <v>820</v>
      </c>
      <c r="B399" t="s">
        <v>821</v>
      </c>
      <c r="C399" t="s">
        <v>39</v>
      </c>
      <c r="D399" t="s">
        <v>28</v>
      </c>
      <c r="E399" s="1">
        <v>57.05</v>
      </c>
      <c r="F399" s="1">
        <v>27.37</v>
      </c>
      <c r="G399" s="1">
        <v>29.68</v>
      </c>
      <c r="H399" s="2">
        <v>0.5202</v>
      </c>
      <c r="I399" t="s">
        <v>29</v>
      </c>
      <c r="J399" s="4">
        <v>77</v>
      </c>
      <c r="K399" s="4">
        <v>15</v>
      </c>
      <c r="L399" s="4">
        <v>414</v>
      </c>
      <c r="M399" s="4">
        <v>491</v>
      </c>
      <c r="N399" t="s">
        <v>30</v>
      </c>
      <c r="O399" t="s">
        <v>31</v>
      </c>
      <c r="P399" s="4" t="str">
        <f t="shared" si="6"/>
        <v>OK</v>
      </c>
    </row>
    <row r="400" spans="1:16">
      <c r="A400" t="s">
        <v>822</v>
      </c>
      <c r="B400" t="s">
        <v>823</v>
      </c>
      <c r="C400" t="s">
        <v>39</v>
      </c>
      <c r="D400" t="s">
        <v>28</v>
      </c>
      <c r="E400" s="1">
        <v>28.69</v>
      </c>
      <c r="F400" s="1">
        <v>10.92</v>
      </c>
      <c r="G400" s="1">
        <v>17.77</v>
      </c>
      <c r="H400" s="2">
        <v>0.61939999999999995</v>
      </c>
      <c r="I400" t="s">
        <v>29</v>
      </c>
      <c r="J400" s="4">
        <v>0</v>
      </c>
      <c r="K400" s="4">
        <v>15</v>
      </c>
      <c r="L400" s="4">
        <v>285</v>
      </c>
      <c r="M400" s="4">
        <v>285</v>
      </c>
      <c r="N400" t="s">
        <v>19</v>
      </c>
      <c r="O400" t="s">
        <v>20</v>
      </c>
      <c r="P400" s="4" t="str">
        <f t="shared" si="6"/>
        <v>OK</v>
      </c>
    </row>
    <row r="401" spans="1:16">
      <c r="A401" t="s">
        <v>824</v>
      </c>
      <c r="B401" t="s">
        <v>825</v>
      </c>
      <c r="C401" t="s">
        <v>39</v>
      </c>
      <c r="D401" t="s">
        <v>28</v>
      </c>
      <c r="E401" s="1">
        <v>63.36</v>
      </c>
      <c r="F401" s="1">
        <v>44.12</v>
      </c>
      <c r="G401" s="1">
        <v>19.239999999999998</v>
      </c>
      <c r="H401" s="2">
        <v>0.30370000000000003</v>
      </c>
      <c r="I401" t="s">
        <v>29</v>
      </c>
      <c r="J401" s="4">
        <v>89</v>
      </c>
      <c r="K401" s="4">
        <v>15</v>
      </c>
      <c r="L401" s="4">
        <v>260</v>
      </c>
      <c r="M401" s="4">
        <v>349</v>
      </c>
      <c r="N401" t="s">
        <v>30</v>
      </c>
      <c r="O401" t="s">
        <v>31</v>
      </c>
      <c r="P401" s="4" t="str">
        <f t="shared" si="6"/>
        <v>OK</v>
      </c>
    </row>
    <row r="402" spans="1:16">
      <c r="A402" t="s">
        <v>826</v>
      </c>
      <c r="B402" t="s">
        <v>827</v>
      </c>
      <c r="C402" t="s">
        <v>39</v>
      </c>
      <c r="D402" t="s">
        <v>28</v>
      </c>
      <c r="E402" s="1">
        <v>18.989999999999998</v>
      </c>
      <c r="F402" s="1">
        <v>13.84</v>
      </c>
      <c r="G402" s="1">
        <v>5.15</v>
      </c>
      <c r="H402" s="2">
        <v>0.2712</v>
      </c>
      <c r="I402" t="s">
        <v>29</v>
      </c>
      <c r="J402" s="4">
        <v>16</v>
      </c>
      <c r="K402" s="4">
        <v>15</v>
      </c>
      <c r="L402" s="4">
        <v>93</v>
      </c>
      <c r="M402" s="4">
        <v>109</v>
      </c>
      <c r="N402" t="s">
        <v>30</v>
      </c>
      <c r="O402" t="s">
        <v>31</v>
      </c>
      <c r="P402" s="4" t="str">
        <f t="shared" si="6"/>
        <v>OK</v>
      </c>
    </row>
    <row r="403" spans="1:16">
      <c r="A403" t="s">
        <v>828</v>
      </c>
      <c r="B403" t="s">
        <v>829</v>
      </c>
      <c r="C403" t="s">
        <v>27</v>
      </c>
      <c r="D403" t="s">
        <v>28</v>
      </c>
      <c r="E403" s="1">
        <v>19.010000000000002</v>
      </c>
      <c r="F403" s="1">
        <v>12.31</v>
      </c>
      <c r="G403" s="1">
        <v>6.7</v>
      </c>
      <c r="H403" s="2">
        <v>0.35240000000000005</v>
      </c>
      <c r="I403" t="s">
        <v>29</v>
      </c>
      <c r="J403" s="4">
        <v>71</v>
      </c>
      <c r="K403" s="4">
        <v>15</v>
      </c>
      <c r="L403" s="4">
        <v>248</v>
      </c>
      <c r="M403" s="4">
        <v>319</v>
      </c>
      <c r="N403" t="s">
        <v>30</v>
      </c>
      <c r="O403" t="s">
        <v>31</v>
      </c>
      <c r="P403" s="4" t="str">
        <f t="shared" si="6"/>
        <v>OK</v>
      </c>
    </row>
    <row r="404" spans="1:16">
      <c r="A404" t="s">
        <v>830</v>
      </c>
      <c r="B404" t="s">
        <v>831</v>
      </c>
      <c r="C404" t="s">
        <v>39</v>
      </c>
      <c r="D404" t="s">
        <v>28</v>
      </c>
      <c r="E404" s="1">
        <v>56.81</v>
      </c>
      <c r="F404" s="1">
        <v>29.83</v>
      </c>
      <c r="G404" s="1">
        <v>26.98</v>
      </c>
      <c r="H404" s="2">
        <v>0.47490000000000004</v>
      </c>
      <c r="I404" t="s">
        <v>29</v>
      </c>
      <c r="J404" s="4">
        <v>58</v>
      </c>
      <c r="K404" s="4">
        <v>15</v>
      </c>
      <c r="L404" s="4">
        <v>2</v>
      </c>
      <c r="M404" s="4">
        <v>60</v>
      </c>
      <c r="N404" t="s">
        <v>30</v>
      </c>
      <c r="O404" t="s">
        <v>31</v>
      </c>
      <c r="P404" s="4" t="str">
        <f t="shared" si="6"/>
        <v>OK</v>
      </c>
    </row>
    <row r="405" spans="1:16">
      <c r="A405" t="s">
        <v>832</v>
      </c>
      <c r="B405" t="s">
        <v>833</v>
      </c>
      <c r="C405" t="s">
        <v>39</v>
      </c>
      <c r="D405" t="s">
        <v>28</v>
      </c>
      <c r="E405" s="1">
        <v>67.97</v>
      </c>
      <c r="F405" s="1">
        <v>78.81</v>
      </c>
      <c r="G405" s="1">
        <v>-10.84</v>
      </c>
      <c r="H405" s="2">
        <v>-0.1595</v>
      </c>
      <c r="I405" t="s">
        <v>127</v>
      </c>
      <c r="J405" s="4">
        <v>77</v>
      </c>
      <c r="K405" s="4">
        <v>15</v>
      </c>
      <c r="L405" s="4">
        <v>141</v>
      </c>
      <c r="M405" s="4">
        <v>218</v>
      </c>
      <c r="N405" t="s">
        <v>30</v>
      </c>
      <c r="O405" t="s">
        <v>31</v>
      </c>
      <c r="P405" s="4" t="str">
        <f t="shared" si="6"/>
        <v>OK</v>
      </c>
    </row>
    <row r="406" spans="1:16">
      <c r="A406" t="s">
        <v>834</v>
      </c>
      <c r="B406" t="s">
        <v>835</v>
      </c>
      <c r="C406" t="s">
        <v>85</v>
      </c>
      <c r="D406" t="s">
        <v>28</v>
      </c>
      <c r="E406" s="1">
        <v>43.66</v>
      </c>
      <c r="F406" s="1">
        <v>19.98</v>
      </c>
      <c r="G406" s="1">
        <v>23.68</v>
      </c>
      <c r="H406" s="2">
        <v>0.54239999999999999</v>
      </c>
      <c r="I406" t="s">
        <v>29</v>
      </c>
      <c r="J406" s="4">
        <v>78</v>
      </c>
      <c r="K406" s="4">
        <v>15</v>
      </c>
      <c r="L406" s="4">
        <v>346</v>
      </c>
      <c r="M406" s="4">
        <v>424</v>
      </c>
      <c r="N406" t="s">
        <v>30</v>
      </c>
      <c r="O406" t="s">
        <v>31</v>
      </c>
      <c r="P406" s="4" t="str">
        <f t="shared" si="6"/>
        <v>OK</v>
      </c>
    </row>
    <row r="407" spans="1:16">
      <c r="A407" t="s">
        <v>836</v>
      </c>
      <c r="B407" t="s">
        <v>837</v>
      </c>
      <c r="C407" t="s">
        <v>34</v>
      </c>
      <c r="D407" t="s">
        <v>28</v>
      </c>
      <c r="E407" s="1">
        <v>861.58</v>
      </c>
      <c r="F407" s="1">
        <v>279.44</v>
      </c>
      <c r="G407" s="1">
        <v>582.14</v>
      </c>
      <c r="H407" s="2">
        <v>0.67569999999999997</v>
      </c>
      <c r="I407" t="s">
        <v>29</v>
      </c>
      <c r="J407" s="4">
        <v>100</v>
      </c>
      <c r="K407" s="4">
        <v>15</v>
      </c>
      <c r="L407" s="4">
        <v>224</v>
      </c>
      <c r="M407" s="4">
        <v>324</v>
      </c>
      <c r="N407" t="s">
        <v>30</v>
      </c>
      <c r="O407" t="s">
        <v>31</v>
      </c>
      <c r="P407" s="4" t="str">
        <f t="shared" si="6"/>
        <v>OK</v>
      </c>
    </row>
    <row r="408" spans="1:16">
      <c r="A408" t="s">
        <v>838</v>
      </c>
      <c r="B408" t="s">
        <v>839</v>
      </c>
      <c r="C408" t="s">
        <v>34</v>
      </c>
      <c r="D408" t="s">
        <v>28</v>
      </c>
      <c r="E408" s="1">
        <v>957.94</v>
      </c>
      <c r="F408" s="1">
        <v>290.22000000000003</v>
      </c>
      <c r="G408" s="1">
        <v>667.72</v>
      </c>
      <c r="H408" s="2">
        <v>0.69700000000000006</v>
      </c>
      <c r="I408" t="s">
        <v>29</v>
      </c>
      <c r="J408" s="4">
        <v>35</v>
      </c>
      <c r="K408" s="4">
        <v>15</v>
      </c>
      <c r="L408" s="4">
        <v>218</v>
      </c>
      <c r="M408" s="4">
        <v>253</v>
      </c>
      <c r="N408" t="s">
        <v>30</v>
      </c>
      <c r="O408" t="s">
        <v>31</v>
      </c>
      <c r="P408" s="4" t="str">
        <f t="shared" si="6"/>
        <v>OK</v>
      </c>
    </row>
    <row r="409" spans="1:16">
      <c r="A409" t="s">
        <v>840</v>
      </c>
      <c r="B409" t="s">
        <v>841</v>
      </c>
      <c r="C409" t="s">
        <v>85</v>
      </c>
      <c r="D409" t="s">
        <v>28</v>
      </c>
      <c r="E409" s="1">
        <v>31.05</v>
      </c>
      <c r="F409" s="1">
        <v>19.75</v>
      </c>
      <c r="G409" s="1">
        <v>11.3</v>
      </c>
      <c r="H409" s="2">
        <v>0.3639</v>
      </c>
      <c r="I409" t="s">
        <v>29</v>
      </c>
      <c r="J409" s="4">
        <v>51</v>
      </c>
      <c r="K409" s="4">
        <v>15</v>
      </c>
      <c r="L409" s="4">
        <v>450</v>
      </c>
      <c r="M409" s="4">
        <v>501</v>
      </c>
      <c r="N409" t="s">
        <v>30</v>
      </c>
      <c r="O409" t="s">
        <v>31</v>
      </c>
      <c r="P409" s="4" t="str">
        <f t="shared" si="6"/>
        <v>OK</v>
      </c>
    </row>
    <row r="410" spans="1:16">
      <c r="A410" t="s">
        <v>842</v>
      </c>
      <c r="B410" t="s">
        <v>843</v>
      </c>
      <c r="C410" t="s">
        <v>34</v>
      </c>
      <c r="D410" t="s">
        <v>28</v>
      </c>
      <c r="E410" s="1">
        <v>96.84</v>
      </c>
      <c r="F410" s="1">
        <v>49.64</v>
      </c>
      <c r="G410" s="1">
        <v>47.2</v>
      </c>
      <c r="H410" s="2">
        <v>0.4874</v>
      </c>
      <c r="I410" t="s">
        <v>29</v>
      </c>
      <c r="J410" s="4">
        <v>4</v>
      </c>
      <c r="K410" s="4">
        <v>15</v>
      </c>
      <c r="L410" s="4">
        <v>163</v>
      </c>
      <c r="M410" s="4">
        <v>167</v>
      </c>
      <c r="N410" t="s">
        <v>73</v>
      </c>
      <c r="O410" t="s">
        <v>31</v>
      </c>
      <c r="P410" s="4" t="str">
        <f t="shared" si="6"/>
        <v>OK</v>
      </c>
    </row>
    <row r="411" spans="1:16">
      <c r="A411" t="s">
        <v>844</v>
      </c>
      <c r="B411" t="s">
        <v>845</v>
      </c>
      <c r="C411" t="s">
        <v>34</v>
      </c>
      <c r="D411" t="s">
        <v>28</v>
      </c>
      <c r="E411" s="1">
        <v>92.74</v>
      </c>
      <c r="F411" s="1">
        <v>29.8</v>
      </c>
      <c r="G411" s="1">
        <v>62.94</v>
      </c>
      <c r="H411" s="2">
        <v>0.67870000000000008</v>
      </c>
      <c r="I411" t="s">
        <v>29</v>
      </c>
      <c r="J411" s="4">
        <v>66</v>
      </c>
      <c r="K411" s="4">
        <v>15</v>
      </c>
      <c r="L411" s="4">
        <v>219</v>
      </c>
      <c r="M411" s="4">
        <v>285</v>
      </c>
      <c r="N411" t="s">
        <v>30</v>
      </c>
      <c r="O411" t="s">
        <v>31</v>
      </c>
      <c r="P411" s="4" t="str">
        <f t="shared" si="6"/>
        <v>OK</v>
      </c>
    </row>
    <row r="412" spans="1:16">
      <c r="A412" t="s">
        <v>846</v>
      </c>
      <c r="B412" t="s">
        <v>847</v>
      </c>
      <c r="C412" t="s">
        <v>27</v>
      </c>
      <c r="D412" t="s">
        <v>28</v>
      </c>
      <c r="E412" s="1">
        <v>87.41</v>
      </c>
      <c r="F412" s="1">
        <v>60.24</v>
      </c>
      <c r="G412" s="1">
        <v>27.17</v>
      </c>
      <c r="H412" s="2">
        <v>0.31079999999999997</v>
      </c>
      <c r="I412" t="s">
        <v>29</v>
      </c>
      <c r="J412" s="4">
        <v>12</v>
      </c>
      <c r="K412" s="4">
        <v>15</v>
      </c>
      <c r="L412" s="4">
        <v>356</v>
      </c>
      <c r="M412" s="4">
        <v>368</v>
      </c>
      <c r="N412" t="s">
        <v>73</v>
      </c>
      <c r="O412" t="s">
        <v>31</v>
      </c>
      <c r="P412" s="4" t="str">
        <f t="shared" si="6"/>
        <v>OK</v>
      </c>
    </row>
    <row r="413" spans="1:16">
      <c r="A413" t="s">
        <v>848</v>
      </c>
      <c r="B413" t="s">
        <v>849</v>
      </c>
      <c r="C413" t="s">
        <v>34</v>
      </c>
      <c r="D413" t="s">
        <v>28</v>
      </c>
      <c r="E413" s="1">
        <v>659.44</v>
      </c>
      <c r="F413" s="1">
        <v>206.85</v>
      </c>
      <c r="G413" s="1">
        <v>452.59</v>
      </c>
      <c r="H413" s="2">
        <v>0.68629999999999991</v>
      </c>
      <c r="I413" t="s">
        <v>29</v>
      </c>
      <c r="J413" s="4">
        <v>73</v>
      </c>
      <c r="K413" s="4">
        <v>15</v>
      </c>
      <c r="L413" s="4">
        <v>167</v>
      </c>
      <c r="M413" s="4">
        <v>240</v>
      </c>
      <c r="N413" t="s">
        <v>30</v>
      </c>
      <c r="O413" t="s">
        <v>31</v>
      </c>
      <c r="P413" s="4" t="str">
        <f t="shared" si="6"/>
        <v>OK</v>
      </c>
    </row>
    <row r="414" spans="1:16">
      <c r="A414" t="s">
        <v>850</v>
      </c>
      <c r="B414" t="s">
        <v>851</v>
      </c>
      <c r="C414" t="s">
        <v>34</v>
      </c>
      <c r="D414" t="s">
        <v>28</v>
      </c>
      <c r="E414" s="1">
        <v>389.54</v>
      </c>
      <c r="F414" s="1">
        <v>194.59</v>
      </c>
      <c r="G414" s="1">
        <v>194.95</v>
      </c>
      <c r="H414" s="2">
        <v>0.50049999999999994</v>
      </c>
      <c r="I414" t="s">
        <v>29</v>
      </c>
      <c r="J414" s="4">
        <v>69</v>
      </c>
      <c r="K414" s="4">
        <v>15</v>
      </c>
      <c r="L414" s="4">
        <v>7</v>
      </c>
      <c r="M414" s="4">
        <v>76</v>
      </c>
      <c r="N414" t="s">
        <v>30</v>
      </c>
      <c r="O414" t="s">
        <v>31</v>
      </c>
      <c r="P414" s="4" t="str">
        <f t="shared" si="6"/>
        <v>OK</v>
      </c>
    </row>
    <row r="415" spans="1:16">
      <c r="A415" t="s">
        <v>852</v>
      </c>
      <c r="B415" t="s">
        <v>853</v>
      </c>
      <c r="C415" t="s">
        <v>27</v>
      </c>
      <c r="D415" t="s">
        <v>28</v>
      </c>
      <c r="E415" s="1">
        <v>14.95</v>
      </c>
      <c r="F415" s="1">
        <v>5.69</v>
      </c>
      <c r="G415" s="1">
        <v>9.26</v>
      </c>
      <c r="H415" s="2">
        <v>0.61939999999999995</v>
      </c>
      <c r="I415" t="s">
        <v>29</v>
      </c>
      <c r="J415" s="4">
        <v>71</v>
      </c>
      <c r="K415" s="4">
        <v>15</v>
      </c>
      <c r="L415" s="4">
        <v>0</v>
      </c>
      <c r="M415" s="4">
        <v>71</v>
      </c>
      <c r="N415" t="s">
        <v>30</v>
      </c>
      <c r="O415" t="s">
        <v>31</v>
      </c>
      <c r="P415" s="4" t="str">
        <f t="shared" si="6"/>
        <v>OK</v>
      </c>
    </row>
    <row r="416" spans="1:16">
      <c r="A416" t="s">
        <v>854</v>
      </c>
      <c r="B416" t="s">
        <v>855</v>
      </c>
      <c r="C416" t="s">
        <v>34</v>
      </c>
      <c r="D416" t="s">
        <v>28</v>
      </c>
      <c r="E416" s="1">
        <v>24.49</v>
      </c>
      <c r="F416" s="1">
        <v>18.059999999999999</v>
      </c>
      <c r="G416" s="1">
        <v>6.43</v>
      </c>
      <c r="H416" s="2">
        <v>0.2626</v>
      </c>
      <c r="I416" t="s">
        <v>29</v>
      </c>
      <c r="J416" s="4">
        <v>19</v>
      </c>
      <c r="K416" s="4">
        <v>15</v>
      </c>
      <c r="L416" s="4">
        <v>0</v>
      </c>
      <c r="M416" s="4">
        <v>19</v>
      </c>
      <c r="N416" t="s">
        <v>30</v>
      </c>
      <c r="O416" t="s">
        <v>31</v>
      </c>
      <c r="P416" s="4" t="str">
        <f t="shared" si="6"/>
        <v>OK</v>
      </c>
    </row>
    <row r="417" spans="1:16">
      <c r="A417" t="s">
        <v>856</v>
      </c>
      <c r="B417" t="s">
        <v>857</v>
      </c>
      <c r="C417" t="s">
        <v>34</v>
      </c>
      <c r="D417" t="s">
        <v>28</v>
      </c>
      <c r="E417" s="1">
        <v>135.57</v>
      </c>
      <c r="F417" s="1">
        <v>60.21</v>
      </c>
      <c r="G417" s="1">
        <v>75.36</v>
      </c>
      <c r="H417" s="2">
        <v>0.55590000000000006</v>
      </c>
      <c r="I417" t="s">
        <v>29</v>
      </c>
      <c r="J417" s="4">
        <v>87</v>
      </c>
      <c r="K417" s="4">
        <v>15</v>
      </c>
      <c r="L417" s="4">
        <v>122</v>
      </c>
      <c r="M417" s="4">
        <v>209</v>
      </c>
      <c r="N417" t="s">
        <v>30</v>
      </c>
      <c r="O417" t="s">
        <v>31</v>
      </c>
      <c r="P417" s="4" t="str">
        <f t="shared" si="6"/>
        <v>OK</v>
      </c>
    </row>
    <row r="418" spans="1:16">
      <c r="A418" t="s">
        <v>858</v>
      </c>
      <c r="B418" t="s">
        <v>859</v>
      </c>
      <c r="C418" t="s">
        <v>122</v>
      </c>
      <c r="D418" t="s">
        <v>28</v>
      </c>
      <c r="E418" s="1">
        <v>71.569999999999993</v>
      </c>
      <c r="F418" s="1">
        <v>52.73</v>
      </c>
      <c r="G418" s="1">
        <v>18.84</v>
      </c>
      <c r="H418" s="2">
        <v>0.26319999999999999</v>
      </c>
      <c r="I418" t="s">
        <v>29</v>
      </c>
      <c r="J418" s="4">
        <v>24</v>
      </c>
      <c r="K418" s="4">
        <v>15</v>
      </c>
      <c r="L418" s="4">
        <v>280</v>
      </c>
      <c r="M418" s="4">
        <v>304</v>
      </c>
      <c r="N418" t="s">
        <v>30</v>
      </c>
      <c r="O418" t="s">
        <v>31</v>
      </c>
      <c r="P418" s="4" t="str">
        <f t="shared" si="6"/>
        <v>OK</v>
      </c>
    </row>
    <row r="419" spans="1:16">
      <c r="A419" t="s">
        <v>860</v>
      </c>
      <c r="B419" t="s">
        <v>861</v>
      </c>
      <c r="C419" t="s">
        <v>34</v>
      </c>
      <c r="D419" t="s">
        <v>28</v>
      </c>
      <c r="E419" s="1">
        <v>93.57</v>
      </c>
      <c r="F419" s="1">
        <v>57.33</v>
      </c>
      <c r="G419" s="1">
        <v>36.24</v>
      </c>
      <c r="H419" s="2">
        <v>0.38729999999999998</v>
      </c>
      <c r="I419" t="s">
        <v>29</v>
      </c>
      <c r="J419" s="4">
        <v>25</v>
      </c>
      <c r="K419" s="4">
        <v>15</v>
      </c>
      <c r="L419" s="4">
        <v>471</v>
      </c>
      <c r="M419" s="4">
        <v>496</v>
      </c>
      <c r="N419" t="s">
        <v>30</v>
      </c>
      <c r="O419" t="s">
        <v>31</v>
      </c>
      <c r="P419" s="4" t="str">
        <f t="shared" si="6"/>
        <v>OK</v>
      </c>
    </row>
    <row r="420" spans="1:16">
      <c r="A420" t="s">
        <v>862</v>
      </c>
      <c r="B420" t="s">
        <v>863</v>
      </c>
      <c r="C420" t="s">
        <v>34</v>
      </c>
      <c r="D420" t="s">
        <v>28</v>
      </c>
      <c r="E420" s="1">
        <v>54.49</v>
      </c>
      <c r="F420" s="1">
        <v>30.13</v>
      </c>
      <c r="G420" s="1">
        <v>24.36</v>
      </c>
      <c r="H420" s="2">
        <v>0.4471</v>
      </c>
      <c r="I420" t="s">
        <v>29</v>
      </c>
      <c r="J420" s="4">
        <v>10</v>
      </c>
      <c r="K420" s="4">
        <v>15</v>
      </c>
      <c r="L420" s="4">
        <v>373</v>
      </c>
      <c r="M420" s="4">
        <v>383</v>
      </c>
      <c r="N420" t="s">
        <v>73</v>
      </c>
      <c r="O420" t="s">
        <v>31</v>
      </c>
      <c r="P420" s="4" t="str">
        <f t="shared" si="6"/>
        <v>OK</v>
      </c>
    </row>
    <row r="421" spans="1:16">
      <c r="A421" t="s">
        <v>864</v>
      </c>
      <c r="B421" t="s">
        <v>865</v>
      </c>
      <c r="C421" t="s">
        <v>39</v>
      </c>
      <c r="D421" t="s">
        <v>28</v>
      </c>
      <c r="E421" s="1">
        <v>54.38</v>
      </c>
      <c r="F421" s="1">
        <v>35.119999999999997</v>
      </c>
      <c r="G421" s="1">
        <v>19.260000000000002</v>
      </c>
      <c r="H421" s="2">
        <v>0.35420000000000001</v>
      </c>
      <c r="I421" t="s">
        <v>29</v>
      </c>
      <c r="J421" s="4">
        <v>78</v>
      </c>
      <c r="K421" s="4">
        <v>15</v>
      </c>
      <c r="L421" s="4">
        <v>301</v>
      </c>
      <c r="M421" s="4">
        <v>379</v>
      </c>
      <c r="N421" t="s">
        <v>30</v>
      </c>
      <c r="O421" t="s">
        <v>31</v>
      </c>
      <c r="P421" s="4" t="str">
        <f t="shared" si="6"/>
        <v>OK</v>
      </c>
    </row>
    <row r="422" spans="1:16">
      <c r="A422" t="s">
        <v>866</v>
      </c>
      <c r="B422" t="s">
        <v>867</v>
      </c>
      <c r="C422" t="s">
        <v>34</v>
      </c>
      <c r="D422" t="s">
        <v>28</v>
      </c>
      <c r="E422" s="1">
        <v>80.94</v>
      </c>
      <c r="F422" s="1">
        <v>49.6</v>
      </c>
      <c r="G422" s="1">
        <v>31.34</v>
      </c>
      <c r="H422" s="2">
        <v>0.38719999999999999</v>
      </c>
      <c r="I422" t="s">
        <v>29</v>
      </c>
      <c r="J422" s="4">
        <v>35</v>
      </c>
      <c r="K422" s="4">
        <v>15</v>
      </c>
      <c r="L422" s="4">
        <v>340</v>
      </c>
      <c r="M422" s="4">
        <v>375</v>
      </c>
      <c r="N422" t="s">
        <v>30</v>
      </c>
      <c r="O422" t="s">
        <v>31</v>
      </c>
      <c r="P422" s="4" t="str">
        <f t="shared" si="6"/>
        <v>OK</v>
      </c>
    </row>
    <row r="423" spans="1:16">
      <c r="A423" t="s">
        <v>868</v>
      </c>
      <c r="B423" t="s">
        <v>869</v>
      </c>
      <c r="C423" t="s">
        <v>34</v>
      </c>
      <c r="D423" t="s">
        <v>28</v>
      </c>
      <c r="E423" s="1">
        <v>27.01</v>
      </c>
      <c r="F423" s="1">
        <v>10.94</v>
      </c>
      <c r="G423" s="1">
        <v>16.07</v>
      </c>
      <c r="H423" s="2">
        <v>0.59499999999999997</v>
      </c>
      <c r="I423" t="s">
        <v>29</v>
      </c>
      <c r="J423" s="4">
        <v>74</v>
      </c>
      <c r="K423" s="4">
        <v>15</v>
      </c>
      <c r="L423" s="4">
        <v>94</v>
      </c>
      <c r="M423" s="4">
        <v>168</v>
      </c>
      <c r="N423" t="s">
        <v>30</v>
      </c>
      <c r="O423" t="s">
        <v>31</v>
      </c>
      <c r="P423" s="4" t="str">
        <f t="shared" si="6"/>
        <v>OK</v>
      </c>
    </row>
    <row r="424" spans="1:16">
      <c r="A424" t="s">
        <v>870</v>
      </c>
      <c r="B424" t="s">
        <v>871</v>
      </c>
      <c r="C424" t="s">
        <v>39</v>
      </c>
      <c r="D424" t="s">
        <v>28</v>
      </c>
      <c r="E424" s="1">
        <v>15.94</v>
      </c>
      <c r="F424" s="1">
        <v>5.88</v>
      </c>
      <c r="G424" s="1">
        <v>10.06</v>
      </c>
      <c r="H424" s="2">
        <v>0.63109999999999999</v>
      </c>
      <c r="I424" t="s">
        <v>29</v>
      </c>
      <c r="J424" s="4">
        <v>95</v>
      </c>
      <c r="K424" s="4">
        <v>15</v>
      </c>
      <c r="L424" s="4">
        <v>229</v>
      </c>
      <c r="M424" s="4">
        <v>324</v>
      </c>
      <c r="N424" t="s">
        <v>30</v>
      </c>
      <c r="O424" t="s">
        <v>31</v>
      </c>
      <c r="P424" s="4" t="str">
        <f t="shared" si="6"/>
        <v>OK</v>
      </c>
    </row>
    <row r="425" spans="1:16">
      <c r="A425" t="s">
        <v>872</v>
      </c>
      <c r="B425" t="s">
        <v>873</v>
      </c>
      <c r="C425" t="s">
        <v>34</v>
      </c>
      <c r="D425" t="s">
        <v>28</v>
      </c>
      <c r="E425" s="1">
        <v>134.66</v>
      </c>
      <c r="F425" s="1">
        <v>52.66</v>
      </c>
      <c r="G425" s="1">
        <v>82</v>
      </c>
      <c r="H425" s="2">
        <v>0.6089</v>
      </c>
      <c r="I425" t="s">
        <v>29</v>
      </c>
      <c r="J425" s="4">
        <v>38</v>
      </c>
      <c r="K425" s="4">
        <v>15</v>
      </c>
      <c r="L425" s="4">
        <v>346</v>
      </c>
      <c r="M425" s="4">
        <v>384</v>
      </c>
      <c r="N425" t="s">
        <v>30</v>
      </c>
      <c r="O425" t="s">
        <v>31</v>
      </c>
      <c r="P425" s="4" t="str">
        <f t="shared" si="6"/>
        <v>OK</v>
      </c>
    </row>
    <row r="426" spans="1:16">
      <c r="A426" t="s">
        <v>874</v>
      </c>
      <c r="B426" t="s">
        <v>875</v>
      </c>
      <c r="C426" t="s">
        <v>34</v>
      </c>
      <c r="D426" t="s">
        <v>28</v>
      </c>
      <c r="E426" s="1">
        <v>15.81</v>
      </c>
      <c r="F426" s="1">
        <v>10.74</v>
      </c>
      <c r="G426" s="1">
        <v>5.07</v>
      </c>
      <c r="H426" s="2">
        <v>0.32069999999999999</v>
      </c>
      <c r="I426" t="s">
        <v>29</v>
      </c>
      <c r="J426" s="4">
        <v>36</v>
      </c>
      <c r="K426" s="4">
        <v>15</v>
      </c>
      <c r="L426" s="4">
        <v>219</v>
      </c>
      <c r="M426" s="4">
        <v>255</v>
      </c>
      <c r="N426" t="s">
        <v>30</v>
      </c>
      <c r="O426" t="s">
        <v>31</v>
      </c>
      <c r="P426" s="4" t="str">
        <f t="shared" si="6"/>
        <v>OK</v>
      </c>
    </row>
    <row r="427" spans="1:16">
      <c r="A427" t="s">
        <v>876</v>
      </c>
      <c r="B427" t="s">
        <v>877</v>
      </c>
      <c r="C427" t="s">
        <v>281</v>
      </c>
      <c r="D427" t="s">
        <v>28</v>
      </c>
      <c r="E427" s="1">
        <v>15.67</v>
      </c>
      <c r="F427" s="1">
        <v>9.32</v>
      </c>
      <c r="G427" s="1">
        <v>6.35</v>
      </c>
      <c r="H427" s="2">
        <v>0.4052</v>
      </c>
      <c r="I427" t="s">
        <v>29</v>
      </c>
      <c r="J427" s="4">
        <v>51</v>
      </c>
      <c r="K427" s="4">
        <v>15</v>
      </c>
      <c r="L427" s="4">
        <v>7</v>
      </c>
      <c r="M427" s="4">
        <v>58</v>
      </c>
      <c r="N427" t="s">
        <v>30</v>
      </c>
      <c r="O427" t="s">
        <v>31</v>
      </c>
      <c r="P427" s="4" t="str">
        <f t="shared" si="6"/>
        <v>OK</v>
      </c>
    </row>
    <row r="428" spans="1:16">
      <c r="A428" t="s">
        <v>878</v>
      </c>
      <c r="B428" t="s">
        <v>879</v>
      </c>
      <c r="C428" t="s">
        <v>34</v>
      </c>
      <c r="D428" t="s">
        <v>28</v>
      </c>
      <c r="E428" s="1">
        <v>282.27</v>
      </c>
      <c r="F428" s="1">
        <v>128.91</v>
      </c>
      <c r="G428" s="1">
        <v>153.36000000000001</v>
      </c>
      <c r="H428" s="2">
        <v>0.54330000000000001</v>
      </c>
      <c r="I428" t="s">
        <v>29</v>
      </c>
      <c r="J428" s="4">
        <v>63</v>
      </c>
      <c r="K428" s="4">
        <v>15</v>
      </c>
      <c r="L428" s="4">
        <v>332</v>
      </c>
      <c r="M428" s="4">
        <v>395</v>
      </c>
      <c r="N428" t="s">
        <v>30</v>
      </c>
      <c r="O428" t="s">
        <v>31</v>
      </c>
      <c r="P428" s="4" t="str">
        <f t="shared" si="6"/>
        <v>OK</v>
      </c>
    </row>
    <row r="429" spans="1:16">
      <c r="A429" t="s">
        <v>880</v>
      </c>
      <c r="B429" t="s">
        <v>80</v>
      </c>
      <c r="C429" t="s">
        <v>34</v>
      </c>
      <c r="D429" t="s">
        <v>28</v>
      </c>
      <c r="E429" s="1">
        <v>349</v>
      </c>
      <c r="F429" s="1">
        <v>250.62</v>
      </c>
      <c r="G429" s="1">
        <v>98.38</v>
      </c>
      <c r="H429" s="2">
        <v>0.28190000000000004</v>
      </c>
      <c r="I429" t="s">
        <v>29</v>
      </c>
      <c r="J429" s="4">
        <v>40</v>
      </c>
      <c r="K429" s="4">
        <v>15</v>
      </c>
      <c r="L429" s="4">
        <v>137</v>
      </c>
      <c r="M429" s="4">
        <v>177</v>
      </c>
      <c r="N429" t="s">
        <v>30</v>
      </c>
      <c r="O429" t="s">
        <v>31</v>
      </c>
      <c r="P429" s="4" t="str">
        <f t="shared" si="6"/>
        <v>DUPLICATE</v>
      </c>
    </row>
    <row r="430" spans="1:16">
      <c r="A430" t="s">
        <v>881</v>
      </c>
      <c r="B430" t="s">
        <v>882</v>
      </c>
      <c r="C430" t="s">
        <v>27</v>
      </c>
      <c r="D430" t="s">
        <v>28</v>
      </c>
      <c r="E430" s="1">
        <v>13.06</v>
      </c>
      <c r="F430" s="1">
        <v>9.58</v>
      </c>
      <c r="G430" s="1">
        <v>3.48</v>
      </c>
      <c r="H430" s="2">
        <v>0.26649999999999996</v>
      </c>
      <c r="I430" t="s">
        <v>29</v>
      </c>
      <c r="J430" s="4">
        <v>81</v>
      </c>
      <c r="K430" s="4">
        <v>15</v>
      </c>
      <c r="L430" s="4">
        <v>182</v>
      </c>
      <c r="M430" s="4">
        <v>263</v>
      </c>
      <c r="N430" t="s">
        <v>30</v>
      </c>
      <c r="O430" t="s">
        <v>31</v>
      </c>
      <c r="P430" s="4" t="str">
        <f t="shared" si="6"/>
        <v>OK</v>
      </c>
    </row>
    <row r="431" spans="1:16">
      <c r="A431" t="s">
        <v>883</v>
      </c>
      <c r="B431" t="s">
        <v>884</v>
      </c>
      <c r="C431" t="s">
        <v>34</v>
      </c>
      <c r="D431" t="s">
        <v>28</v>
      </c>
      <c r="E431" s="1">
        <v>249</v>
      </c>
      <c r="F431" s="1">
        <v>135.69999999999999</v>
      </c>
      <c r="G431" s="1">
        <v>113.3</v>
      </c>
      <c r="H431" s="2">
        <v>0.45500000000000002</v>
      </c>
      <c r="I431" t="s">
        <v>29</v>
      </c>
      <c r="J431" s="4">
        <v>7</v>
      </c>
      <c r="K431" s="4">
        <v>15</v>
      </c>
      <c r="L431" s="4">
        <v>345</v>
      </c>
      <c r="M431" s="4">
        <v>352</v>
      </c>
      <c r="N431" t="s">
        <v>73</v>
      </c>
      <c r="O431" t="s">
        <v>31</v>
      </c>
      <c r="P431" s="4" t="str">
        <f t="shared" si="6"/>
        <v>OK</v>
      </c>
    </row>
    <row r="432" spans="1:16">
      <c r="A432" t="s">
        <v>885</v>
      </c>
      <c r="B432" t="s">
        <v>886</v>
      </c>
      <c r="C432" t="s">
        <v>78</v>
      </c>
      <c r="D432" t="s">
        <v>28</v>
      </c>
      <c r="E432" s="1">
        <v>15.81</v>
      </c>
      <c r="F432" s="1">
        <v>5.49</v>
      </c>
      <c r="G432" s="1">
        <v>10.32</v>
      </c>
      <c r="H432" s="2">
        <v>0.65280000000000005</v>
      </c>
      <c r="I432" t="s">
        <v>29</v>
      </c>
      <c r="J432" s="4">
        <v>44</v>
      </c>
      <c r="K432" s="4">
        <v>15</v>
      </c>
      <c r="L432" s="4">
        <v>105</v>
      </c>
      <c r="M432" s="4">
        <v>149</v>
      </c>
      <c r="N432" t="s">
        <v>30</v>
      </c>
      <c r="O432" t="s">
        <v>31</v>
      </c>
      <c r="P432" s="4" t="str">
        <f t="shared" si="6"/>
        <v>OK</v>
      </c>
    </row>
    <row r="433" spans="1:16">
      <c r="A433" t="s">
        <v>887</v>
      </c>
      <c r="B433" t="s">
        <v>888</v>
      </c>
      <c r="C433" t="s">
        <v>39</v>
      </c>
      <c r="D433" t="s">
        <v>28</v>
      </c>
      <c r="E433" s="1">
        <v>53.03</v>
      </c>
      <c r="F433" s="1">
        <v>34.880000000000003</v>
      </c>
      <c r="G433" s="1">
        <v>18.149999999999999</v>
      </c>
      <c r="H433" s="2">
        <v>0.34229999999999999</v>
      </c>
      <c r="I433" t="s">
        <v>29</v>
      </c>
      <c r="J433" s="4">
        <v>9</v>
      </c>
      <c r="K433" s="4">
        <v>15</v>
      </c>
      <c r="L433" s="4">
        <v>60</v>
      </c>
      <c r="M433" s="4">
        <v>69</v>
      </c>
      <c r="N433" t="s">
        <v>73</v>
      </c>
      <c r="O433" t="s">
        <v>31</v>
      </c>
      <c r="P433" s="4" t="str">
        <f t="shared" si="6"/>
        <v>OK</v>
      </c>
    </row>
    <row r="434" spans="1:16">
      <c r="A434" t="s">
        <v>889</v>
      </c>
      <c r="B434" t="s">
        <v>890</v>
      </c>
      <c r="C434" t="s">
        <v>78</v>
      </c>
      <c r="D434" t="s">
        <v>28</v>
      </c>
      <c r="E434" s="1">
        <v>94.01</v>
      </c>
      <c r="F434" s="1">
        <v>51.83</v>
      </c>
      <c r="G434" s="1">
        <v>42.18</v>
      </c>
      <c r="H434" s="2">
        <v>0.44869999999999999</v>
      </c>
      <c r="I434" t="s">
        <v>29</v>
      </c>
      <c r="J434" s="4">
        <v>46</v>
      </c>
      <c r="K434" s="4">
        <v>15</v>
      </c>
      <c r="L434" s="4">
        <v>500</v>
      </c>
      <c r="M434" s="4">
        <v>546</v>
      </c>
      <c r="N434" t="s">
        <v>30</v>
      </c>
      <c r="O434" t="s">
        <v>31</v>
      </c>
      <c r="P434" s="4" t="str">
        <f t="shared" si="6"/>
        <v>OK</v>
      </c>
    </row>
    <row r="435" spans="1:16">
      <c r="A435" t="s">
        <v>891</v>
      </c>
      <c r="B435" t="s">
        <v>892</v>
      </c>
      <c r="C435" t="s">
        <v>78</v>
      </c>
      <c r="D435" t="s">
        <v>28</v>
      </c>
      <c r="E435" s="1">
        <v>43.94</v>
      </c>
      <c r="F435" s="1">
        <v>23.41</v>
      </c>
      <c r="G435" s="1">
        <v>20.53</v>
      </c>
      <c r="H435" s="2">
        <v>0.4672</v>
      </c>
      <c r="I435" t="s">
        <v>29</v>
      </c>
      <c r="J435" s="4">
        <v>57</v>
      </c>
      <c r="K435" s="4">
        <v>15</v>
      </c>
      <c r="L435" s="4">
        <v>307</v>
      </c>
      <c r="M435" s="4">
        <v>364</v>
      </c>
      <c r="N435" t="s">
        <v>30</v>
      </c>
      <c r="O435" t="s">
        <v>31</v>
      </c>
      <c r="P435" s="4" t="str">
        <f t="shared" si="6"/>
        <v>OK</v>
      </c>
    </row>
    <row r="436" spans="1:16">
      <c r="A436" t="s">
        <v>893</v>
      </c>
      <c r="B436" t="s">
        <v>894</v>
      </c>
      <c r="C436" t="s">
        <v>27</v>
      </c>
      <c r="D436" t="s">
        <v>28</v>
      </c>
      <c r="E436" s="1">
        <v>18.12</v>
      </c>
      <c r="F436" s="1">
        <v>9.4</v>
      </c>
      <c r="G436" s="1">
        <v>8.7200000000000006</v>
      </c>
      <c r="H436" s="2">
        <v>0.48119999999999996</v>
      </c>
      <c r="I436" t="s">
        <v>29</v>
      </c>
      <c r="J436" s="4">
        <v>43</v>
      </c>
      <c r="K436" s="4">
        <v>15</v>
      </c>
      <c r="L436" s="4">
        <v>215</v>
      </c>
      <c r="M436" s="4">
        <v>258</v>
      </c>
      <c r="N436" t="s">
        <v>30</v>
      </c>
      <c r="O436" t="s">
        <v>31</v>
      </c>
      <c r="P436" s="4" t="str">
        <f t="shared" si="6"/>
        <v>OK</v>
      </c>
    </row>
    <row r="437" spans="1:16">
      <c r="A437" t="s">
        <v>895</v>
      </c>
      <c r="B437" t="s">
        <v>896</v>
      </c>
      <c r="C437" t="s">
        <v>78</v>
      </c>
      <c r="D437" t="s">
        <v>28</v>
      </c>
      <c r="E437" s="1">
        <v>145.52000000000001</v>
      </c>
      <c r="F437" s="1">
        <v>69.83</v>
      </c>
      <c r="G437" s="1">
        <v>75.69</v>
      </c>
      <c r="H437" s="2">
        <v>0.52010000000000001</v>
      </c>
      <c r="I437" t="s">
        <v>29</v>
      </c>
      <c r="J437" s="4">
        <v>19</v>
      </c>
      <c r="K437" s="4">
        <v>15</v>
      </c>
      <c r="L437" s="4">
        <v>255</v>
      </c>
      <c r="M437" s="4">
        <v>274</v>
      </c>
      <c r="N437" t="s">
        <v>30</v>
      </c>
      <c r="O437" t="s">
        <v>31</v>
      </c>
      <c r="P437" s="4" t="str">
        <f t="shared" si="6"/>
        <v>OK</v>
      </c>
    </row>
    <row r="438" spans="1:16">
      <c r="A438" t="s">
        <v>897</v>
      </c>
      <c r="B438" t="s">
        <v>898</v>
      </c>
      <c r="C438" t="s">
        <v>78</v>
      </c>
      <c r="D438" t="s">
        <v>28</v>
      </c>
      <c r="E438" s="1">
        <v>16.71</v>
      </c>
      <c r="F438" s="1">
        <v>5.5</v>
      </c>
      <c r="G438" s="1">
        <v>11.21</v>
      </c>
      <c r="H438" s="2">
        <v>0.67090000000000005</v>
      </c>
      <c r="I438" t="s">
        <v>29</v>
      </c>
      <c r="J438" s="4">
        <v>0</v>
      </c>
      <c r="K438" s="4">
        <v>15</v>
      </c>
      <c r="L438" s="4">
        <v>96</v>
      </c>
      <c r="M438" s="4">
        <v>96</v>
      </c>
      <c r="N438" t="s">
        <v>19</v>
      </c>
      <c r="O438" t="s">
        <v>20</v>
      </c>
      <c r="P438" s="4" t="str">
        <f t="shared" si="6"/>
        <v>OK</v>
      </c>
    </row>
    <row r="439" spans="1:16">
      <c r="A439" t="s">
        <v>899</v>
      </c>
      <c r="B439" t="s">
        <v>900</v>
      </c>
      <c r="C439" t="s">
        <v>27</v>
      </c>
      <c r="D439" t="s">
        <v>28</v>
      </c>
      <c r="E439" s="1">
        <v>19.22</v>
      </c>
      <c r="F439" s="1">
        <v>7.35</v>
      </c>
      <c r="G439" s="1">
        <v>11.87</v>
      </c>
      <c r="H439" s="2">
        <v>0.61759999999999993</v>
      </c>
      <c r="I439" t="s">
        <v>29</v>
      </c>
      <c r="J439" s="4">
        <v>98</v>
      </c>
      <c r="K439" s="4">
        <v>15</v>
      </c>
      <c r="L439" s="4">
        <v>117</v>
      </c>
      <c r="M439" s="4">
        <v>215</v>
      </c>
      <c r="N439" t="s">
        <v>30</v>
      </c>
      <c r="O439" t="s">
        <v>31</v>
      </c>
      <c r="P439" s="4" t="str">
        <f t="shared" si="6"/>
        <v>OK</v>
      </c>
    </row>
    <row r="440" spans="1:16">
      <c r="A440" t="s">
        <v>901</v>
      </c>
      <c r="B440" t="s">
        <v>902</v>
      </c>
      <c r="C440" t="s">
        <v>78</v>
      </c>
      <c r="D440" t="s">
        <v>28</v>
      </c>
      <c r="E440" s="1">
        <v>43.69</v>
      </c>
      <c r="F440" s="1">
        <v>19.579999999999998</v>
      </c>
      <c r="G440" s="1">
        <v>24.11</v>
      </c>
      <c r="H440" s="2">
        <v>0.55179999999999996</v>
      </c>
      <c r="I440" t="s">
        <v>29</v>
      </c>
      <c r="J440" s="4">
        <v>5</v>
      </c>
      <c r="K440" s="4">
        <v>15</v>
      </c>
      <c r="L440" s="4">
        <v>212</v>
      </c>
      <c r="M440" s="4">
        <v>217</v>
      </c>
      <c r="N440" t="s">
        <v>73</v>
      </c>
      <c r="O440" t="s">
        <v>31</v>
      </c>
      <c r="P440" s="4" t="str">
        <f t="shared" si="6"/>
        <v>OK</v>
      </c>
    </row>
    <row r="441" spans="1:16">
      <c r="A441" t="s">
        <v>903</v>
      </c>
      <c r="B441" t="s">
        <v>904</v>
      </c>
      <c r="C441" t="s">
        <v>78</v>
      </c>
      <c r="D441" t="s">
        <v>28</v>
      </c>
      <c r="E441" s="1">
        <v>44.62</v>
      </c>
      <c r="F441" s="1">
        <v>28.19</v>
      </c>
      <c r="G441" s="1">
        <v>16.43</v>
      </c>
      <c r="H441" s="2">
        <v>0.36820000000000003</v>
      </c>
      <c r="I441" t="s">
        <v>29</v>
      </c>
      <c r="J441" s="4">
        <v>25</v>
      </c>
      <c r="K441" s="4">
        <v>15</v>
      </c>
      <c r="L441" s="4">
        <v>59</v>
      </c>
      <c r="M441" s="4">
        <v>84</v>
      </c>
      <c r="N441" t="s">
        <v>30</v>
      </c>
      <c r="O441" t="s">
        <v>31</v>
      </c>
      <c r="P441" s="4" t="str">
        <f t="shared" si="6"/>
        <v>OK</v>
      </c>
    </row>
    <row r="442" spans="1:16">
      <c r="A442" t="s">
        <v>905</v>
      </c>
      <c r="B442" t="s">
        <v>906</v>
      </c>
      <c r="C442" t="s">
        <v>122</v>
      </c>
      <c r="D442" t="s">
        <v>28</v>
      </c>
      <c r="E442" s="1">
        <v>36.770000000000003</v>
      </c>
      <c r="F442" s="1">
        <v>17.579999999999998</v>
      </c>
      <c r="G442" s="1">
        <v>19.190000000000001</v>
      </c>
      <c r="H442" s="2">
        <v>0.52190000000000003</v>
      </c>
      <c r="I442" t="s">
        <v>29</v>
      </c>
      <c r="J442" s="4">
        <v>39</v>
      </c>
      <c r="K442" s="4">
        <v>15</v>
      </c>
      <c r="L442" s="4">
        <v>183</v>
      </c>
      <c r="M442" s="4">
        <v>222</v>
      </c>
      <c r="N442" t="s">
        <v>30</v>
      </c>
      <c r="O442" t="s">
        <v>31</v>
      </c>
      <c r="P442" s="4" t="str">
        <f t="shared" si="6"/>
        <v>OK</v>
      </c>
    </row>
    <row r="443" spans="1:16">
      <c r="A443" t="s">
        <v>907</v>
      </c>
      <c r="B443" t="s">
        <v>908</v>
      </c>
      <c r="C443" t="s">
        <v>78</v>
      </c>
      <c r="D443" t="s">
        <v>28</v>
      </c>
      <c r="E443" s="1">
        <v>32.590000000000003</v>
      </c>
      <c r="F443" s="1">
        <v>17.25</v>
      </c>
      <c r="G443" s="1">
        <v>15.34</v>
      </c>
      <c r="H443" s="2">
        <v>0.47070000000000001</v>
      </c>
      <c r="I443" t="s">
        <v>29</v>
      </c>
      <c r="J443" s="4">
        <v>29</v>
      </c>
      <c r="K443" s="4">
        <v>15</v>
      </c>
      <c r="L443" s="4">
        <v>192</v>
      </c>
      <c r="M443" s="4">
        <v>221</v>
      </c>
      <c r="N443" t="s">
        <v>30</v>
      </c>
      <c r="O443" t="s">
        <v>31</v>
      </c>
      <c r="P443" s="4" t="str">
        <f t="shared" si="6"/>
        <v>OK</v>
      </c>
    </row>
    <row r="444" spans="1:16">
      <c r="A444" t="s">
        <v>909</v>
      </c>
      <c r="B444" t="s">
        <v>910</v>
      </c>
      <c r="C444" t="s">
        <v>78</v>
      </c>
      <c r="D444" t="s">
        <v>28</v>
      </c>
      <c r="E444" s="1">
        <v>76.58</v>
      </c>
      <c r="F444" s="1">
        <v>26.51</v>
      </c>
      <c r="G444" s="1">
        <v>50.07</v>
      </c>
      <c r="H444" s="2">
        <v>0.65379999999999994</v>
      </c>
      <c r="I444" t="s">
        <v>29</v>
      </c>
      <c r="J444" s="4">
        <v>3</v>
      </c>
      <c r="K444" s="4">
        <v>15</v>
      </c>
      <c r="L444" s="4">
        <v>131</v>
      </c>
      <c r="M444" s="4">
        <v>134</v>
      </c>
      <c r="N444" t="s">
        <v>73</v>
      </c>
      <c r="O444" t="s">
        <v>31</v>
      </c>
      <c r="P444" s="4" t="str">
        <f t="shared" si="6"/>
        <v>OK</v>
      </c>
    </row>
    <row r="445" spans="1:16">
      <c r="A445" t="s">
        <v>911</v>
      </c>
      <c r="B445" t="s">
        <v>912</v>
      </c>
      <c r="C445" t="s">
        <v>27</v>
      </c>
      <c r="D445" t="s">
        <v>28</v>
      </c>
      <c r="E445" s="1">
        <v>34.06</v>
      </c>
      <c r="F445" s="1">
        <v>11.59</v>
      </c>
      <c r="G445" s="1">
        <v>22.47</v>
      </c>
      <c r="H445" s="2">
        <v>0.65969999999999995</v>
      </c>
      <c r="I445" t="s">
        <v>29</v>
      </c>
      <c r="J445" s="4">
        <v>64</v>
      </c>
      <c r="K445" s="4">
        <v>15</v>
      </c>
      <c r="L445" s="4">
        <v>61</v>
      </c>
      <c r="M445" s="4">
        <v>125</v>
      </c>
      <c r="N445" t="s">
        <v>30</v>
      </c>
      <c r="O445" t="s">
        <v>31</v>
      </c>
      <c r="P445" s="4" t="str">
        <f t="shared" si="6"/>
        <v>OK</v>
      </c>
    </row>
    <row r="446" spans="1:16">
      <c r="A446" t="s">
        <v>913</v>
      </c>
      <c r="B446" t="s">
        <v>914</v>
      </c>
      <c r="C446" t="s">
        <v>78</v>
      </c>
      <c r="D446" t="s">
        <v>28</v>
      </c>
      <c r="E446" s="1">
        <v>54.27</v>
      </c>
      <c r="F446" s="1">
        <v>25.27</v>
      </c>
      <c r="G446" s="1">
        <v>29</v>
      </c>
      <c r="H446" s="2">
        <v>0.53439999999999999</v>
      </c>
      <c r="I446" t="s">
        <v>29</v>
      </c>
      <c r="J446" s="4">
        <v>52</v>
      </c>
      <c r="K446" s="4">
        <v>15</v>
      </c>
      <c r="L446" s="4">
        <v>97</v>
      </c>
      <c r="M446" s="4">
        <v>149</v>
      </c>
      <c r="N446" t="s">
        <v>30</v>
      </c>
      <c r="O446" t="s">
        <v>31</v>
      </c>
      <c r="P446" s="4" t="str">
        <f t="shared" si="6"/>
        <v>OK</v>
      </c>
    </row>
    <row r="447" spans="1:16">
      <c r="A447" t="s">
        <v>915</v>
      </c>
      <c r="B447" t="s">
        <v>916</v>
      </c>
      <c r="C447" t="s">
        <v>78</v>
      </c>
      <c r="D447" t="s">
        <v>28</v>
      </c>
      <c r="E447" s="1">
        <v>46.02</v>
      </c>
      <c r="F447" s="1">
        <v>15.51</v>
      </c>
      <c r="G447" s="1">
        <v>30.51</v>
      </c>
      <c r="H447" s="2">
        <v>0.66299999999999992</v>
      </c>
      <c r="I447" t="s">
        <v>29</v>
      </c>
      <c r="J447" s="4">
        <v>37</v>
      </c>
      <c r="K447" s="4">
        <v>15</v>
      </c>
      <c r="L447" s="4">
        <v>33</v>
      </c>
      <c r="M447" s="4">
        <v>70</v>
      </c>
      <c r="N447" t="s">
        <v>30</v>
      </c>
      <c r="O447" t="s">
        <v>31</v>
      </c>
      <c r="P447" s="4" t="str">
        <f t="shared" si="6"/>
        <v>OK</v>
      </c>
    </row>
    <row r="448" spans="1:16">
      <c r="A448" t="s">
        <v>917</v>
      </c>
      <c r="B448" t="s">
        <v>541</v>
      </c>
      <c r="C448" t="s">
        <v>64</v>
      </c>
      <c r="D448" t="s">
        <v>28</v>
      </c>
      <c r="E448" s="1">
        <v>52.1</v>
      </c>
      <c r="F448" s="1">
        <v>25.53</v>
      </c>
      <c r="G448" s="1">
        <v>26.57</v>
      </c>
      <c r="H448" s="2">
        <v>0.51</v>
      </c>
      <c r="I448" t="s">
        <v>29</v>
      </c>
      <c r="J448" s="4">
        <v>60</v>
      </c>
      <c r="K448" s="4">
        <v>15</v>
      </c>
      <c r="L448" s="4">
        <v>330</v>
      </c>
      <c r="M448" s="4">
        <v>390</v>
      </c>
      <c r="N448" t="s">
        <v>30</v>
      </c>
      <c r="O448" t="s">
        <v>31</v>
      </c>
      <c r="P448" s="4" t="str">
        <f t="shared" si="6"/>
        <v>DUPLICATE</v>
      </c>
    </row>
    <row r="449" spans="1:16">
      <c r="A449" t="s">
        <v>918</v>
      </c>
      <c r="B449" t="s">
        <v>919</v>
      </c>
      <c r="C449" t="s">
        <v>78</v>
      </c>
      <c r="D449" t="s">
        <v>28</v>
      </c>
      <c r="E449" s="1">
        <v>44.89</v>
      </c>
      <c r="F449" s="1">
        <v>26.69</v>
      </c>
      <c r="G449" s="1">
        <v>18.2</v>
      </c>
      <c r="H449" s="2">
        <v>0.40539999999999998</v>
      </c>
      <c r="I449" t="s">
        <v>29</v>
      </c>
      <c r="J449" s="4">
        <v>54</v>
      </c>
      <c r="K449" s="4">
        <v>15</v>
      </c>
      <c r="L449" s="4">
        <v>229</v>
      </c>
      <c r="M449" s="4">
        <v>283</v>
      </c>
      <c r="N449" t="s">
        <v>30</v>
      </c>
      <c r="O449" t="s">
        <v>31</v>
      </c>
      <c r="P449" s="4" t="str">
        <f t="shared" si="6"/>
        <v>OK</v>
      </c>
    </row>
    <row r="450" spans="1:16">
      <c r="A450" t="s">
        <v>920</v>
      </c>
      <c r="B450" t="s">
        <v>921</v>
      </c>
      <c r="C450" t="s">
        <v>78</v>
      </c>
      <c r="D450" t="s">
        <v>28</v>
      </c>
      <c r="E450" s="1">
        <v>124.26</v>
      </c>
      <c r="F450" s="1">
        <v>89.23</v>
      </c>
      <c r="G450" s="1">
        <v>35.03</v>
      </c>
      <c r="H450" s="2">
        <v>0.28190000000000004</v>
      </c>
      <c r="I450" t="s">
        <v>29</v>
      </c>
      <c r="J450" s="4">
        <v>81</v>
      </c>
      <c r="K450" s="4">
        <v>15</v>
      </c>
      <c r="L450" s="4">
        <v>223</v>
      </c>
      <c r="M450" s="4">
        <v>304</v>
      </c>
      <c r="N450" t="s">
        <v>30</v>
      </c>
      <c r="O450" t="s">
        <v>31</v>
      </c>
      <c r="P450" s="4" t="str">
        <f t="shared" ref="P450:P506" si="7">IF(COUNTIF($B$2:$B$506, B450)&gt;1, "DUPLICATE", "OK")</f>
        <v>OK</v>
      </c>
    </row>
    <row r="451" spans="1:16">
      <c r="A451" t="s">
        <v>922</v>
      </c>
      <c r="B451" t="s">
        <v>923</v>
      </c>
      <c r="C451" t="s">
        <v>64</v>
      </c>
      <c r="D451" t="s">
        <v>28</v>
      </c>
      <c r="E451" s="1">
        <v>78.38</v>
      </c>
      <c r="F451" s="1">
        <v>57</v>
      </c>
      <c r="G451" s="1">
        <v>21.38</v>
      </c>
      <c r="H451" s="2">
        <v>0.27279999999999999</v>
      </c>
      <c r="I451" t="s">
        <v>29</v>
      </c>
      <c r="J451" s="4">
        <v>39</v>
      </c>
      <c r="K451" s="4">
        <v>15</v>
      </c>
      <c r="L451" s="4">
        <v>365</v>
      </c>
      <c r="M451" s="4">
        <v>404</v>
      </c>
      <c r="N451" t="s">
        <v>30</v>
      </c>
      <c r="O451" t="s">
        <v>31</v>
      </c>
      <c r="P451" s="4" t="str">
        <f t="shared" si="7"/>
        <v>OK</v>
      </c>
    </row>
    <row r="452" spans="1:16">
      <c r="A452" t="s">
        <v>924</v>
      </c>
      <c r="B452" t="s">
        <v>925</v>
      </c>
      <c r="C452" t="s">
        <v>78</v>
      </c>
      <c r="D452" t="s">
        <v>28</v>
      </c>
      <c r="E452" s="1">
        <v>32.86</v>
      </c>
      <c r="F452" s="1">
        <v>10.46</v>
      </c>
      <c r="G452" s="1">
        <v>22.4</v>
      </c>
      <c r="H452" s="2">
        <v>0.68169999999999997</v>
      </c>
      <c r="I452" t="s">
        <v>29</v>
      </c>
      <c r="J452" s="4">
        <v>10</v>
      </c>
      <c r="K452" s="4">
        <v>15</v>
      </c>
      <c r="L452" s="4">
        <v>26</v>
      </c>
      <c r="M452" s="4">
        <v>36</v>
      </c>
      <c r="N452" t="s">
        <v>73</v>
      </c>
      <c r="O452" t="s">
        <v>31</v>
      </c>
      <c r="P452" s="4" t="str">
        <f t="shared" si="7"/>
        <v>OK</v>
      </c>
    </row>
    <row r="453" spans="1:16">
      <c r="A453" t="s">
        <v>926</v>
      </c>
      <c r="B453" t="s">
        <v>927</v>
      </c>
      <c r="C453" t="s">
        <v>78</v>
      </c>
      <c r="D453" t="s">
        <v>28</v>
      </c>
      <c r="E453" s="1">
        <v>43.2</v>
      </c>
      <c r="F453" s="1">
        <v>14.79</v>
      </c>
      <c r="G453" s="1">
        <v>28.41</v>
      </c>
      <c r="H453" s="2">
        <v>0.65760000000000007</v>
      </c>
      <c r="I453" t="s">
        <v>29</v>
      </c>
      <c r="J453" s="4">
        <v>23</v>
      </c>
      <c r="K453" s="4">
        <v>15</v>
      </c>
      <c r="L453" s="4">
        <v>153</v>
      </c>
      <c r="M453" s="4">
        <v>176</v>
      </c>
      <c r="N453" t="s">
        <v>30</v>
      </c>
      <c r="O453" t="s">
        <v>31</v>
      </c>
      <c r="P453" s="4" t="str">
        <f t="shared" si="7"/>
        <v>OK</v>
      </c>
    </row>
    <row r="454" spans="1:16">
      <c r="A454" t="s">
        <v>928</v>
      </c>
      <c r="B454" t="s">
        <v>929</v>
      </c>
      <c r="C454" t="s">
        <v>85</v>
      </c>
      <c r="D454" t="s">
        <v>28</v>
      </c>
      <c r="E454" s="1">
        <v>54.04</v>
      </c>
      <c r="F454" s="1">
        <v>39.229999999999997</v>
      </c>
      <c r="G454" s="1">
        <v>14.81</v>
      </c>
      <c r="H454" s="2">
        <v>0.27410000000000001</v>
      </c>
      <c r="I454" t="s">
        <v>29</v>
      </c>
      <c r="J454" s="4">
        <v>76</v>
      </c>
      <c r="K454" s="4">
        <v>15</v>
      </c>
      <c r="L454" s="4">
        <v>201</v>
      </c>
      <c r="M454" s="4">
        <v>277</v>
      </c>
      <c r="N454" t="s">
        <v>30</v>
      </c>
      <c r="O454" t="s">
        <v>31</v>
      </c>
      <c r="P454" s="4" t="str">
        <f t="shared" si="7"/>
        <v>OK</v>
      </c>
    </row>
    <row r="455" spans="1:16">
      <c r="A455" t="s">
        <v>930</v>
      </c>
      <c r="B455" t="s">
        <v>931</v>
      </c>
      <c r="C455" t="s">
        <v>78</v>
      </c>
      <c r="D455" t="s">
        <v>28</v>
      </c>
      <c r="E455" s="1">
        <v>33.729999999999997</v>
      </c>
      <c r="F455" s="1">
        <v>15.83</v>
      </c>
      <c r="G455" s="1">
        <v>17.899999999999999</v>
      </c>
      <c r="H455" s="2">
        <v>0.53069999999999995</v>
      </c>
      <c r="I455" t="s">
        <v>29</v>
      </c>
      <c r="J455" s="4">
        <v>37</v>
      </c>
      <c r="K455" s="4">
        <v>15</v>
      </c>
      <c r="L455" s="4">
        <v>432</v>
      </c>
      <c r="M455" s="4">
        <v>469</v>
      </c>
      <c r="N455" t="s">
        <v>30</v>
      </c>
      <c r="O455" t="s">
        <v>31</v>
      </c>
      <c r="P455" s="4" t="str">
        <f t="shared" si="7"/>
        <v>OK</v>
      </c>
    </row>
    <row r="456" spans="1:16">
      <c r="A456" t="s">
        <v>932</v>
      </c>
      <c r="B456" t="s">
        <v>933</v>
      </c>
      <c r="C456" t="s">
        <v>78</v>
      </c>
      <c r="D456" t="s">
        <v>28</v>
      </c>
      <c r="E456" s="1">
        <v>36.729999999999997</v>
      </c>
      <c r="F456" s="1">
        <v>23.11</v>
      </c>
      <c r="G456" s="1">
        <v>13.62</v>
      </c>
      <c r="H456" s="2">
        <v>0.37079999999999996</v>
      </c>
      <c r="I456" t="s">
        <v>29</v>
      </c>
      <c r="J456" s="4">
        <v>91</v>
      </c>
      <c r="K456" s="4">
        <v>15</v>
      </c>
      <c r="L456" s="4">
        <v>188</v>
      </c>
      <c r="M456" s="4">
        <v>279</v>
      </c>
      <c r="N456" t="s">
        <v>30</v>
      </c>
      <c r="O456" t="s">
        <v>31</v>
      </c>
      <c r="P456" s="4" t="str">
        <f t="shared" si="7"/>
        <v>OK</v>
      </c>
    </row>
    <row r="457" spans="1:16">
      <c r="A457" t="s">
        <v>934</v>
      </c>
      <c r="B457" t="s">
        <v>935</v>
      </c>
      <c r="C457" t="s">
        <v>27</v>
      </c>
      <c r="D457" t="s">
        <v>28</v>
      </c>
      <c r="E457" s="1">
        <v>16.87</v>
      </c>
      <c r="F457" s="1">
        <v>7.71</v>
      </c>
      <c r="G457" s="1">
        <v>9.16</v>
      </c>
      <c r="H457" s="2">
        <v>0.54299999999999993</v>
      </c>
      <c r="I457" t="s">
        <v>29</v>
      </c>
      <c r="J457" s="4">
        <v>50</v>
      </c>
      <c r="K457" s="4">
        <v>15</v>
      </c>
      <c r="L457" s="4">
        <v>170</v>
      </c>
      <c r="M457" s="4">
        <v>220</v>
      </c>
      <c r="N457" t="s">
        <v>30</v>
      </c>
      <c r="O457" t="s">
        <v>31</v>
      </c>
      <c r="P457" s="4" t="str">
        <f t="shared" si="7"/>
        <v>OK</v>
      </c>
    </row>
    <row r="458" spans="1:16">
      <c r="A458" t="s">
        <v>936</v>
      </c>
      <c r="B458" t="s">
        <v>937</v>
      </c>
      <c r="C458" t="s">
        <v>64</v>
      </c>
      <c r="D458" t="s">
        <v>28</v>
      </c>
      <c r="E458" s="1">
        <v>51.03</v>
      </c>
      <c r="F458" s="1">
        <v>29.22</v>
      </c>
      <c r="G458" s="1">
        <v>21.81</v>
      </c>
      <c r="H458" s="2">
        <v>0.4274</v>
      </c>
      <c r="I458" t="s">
        <v>29</v>
      </c>
      <c r="J458" s="4">
        <v>61</v>
      </c>
      <c r="K458" s="4">
        <v>15</v>
      </c>
      <c r="L458" s="4">
        <v>61</v>
      </c>
      <c r="M458" s="4">
        <v>122</v>
      </c>
      <c r="N458" t="s">
        <v>30</v>
      </c>
      <c r="O458" t="s">
        <v>31</v>
      </c>
      <c r="P458" s="4" t="str">
        <f t="shared" si="7"/>
        <v>OK</v>
      </c>
    </row>
    <row r="459" spans="1:16">
      <c r="A459" t="s">
        <v>938</v>
      </c>
      <c r="B459" t="s">
        <v>939</v>
      </c>
      <c r="C459" t="s">
        <v>64</v>
      </c>
      <c r="D459" t="s">
        <v>28</v>
      </c>
      <c r="E459" s="1">
        <v>49.81</v>
      </c>
      <c r="F459" s="1">
        <v>15.55</v>
      </c>
      <c r="G459" s="1">
        <v>34.26</v>
      </c>
      <c r="H459" s="2">
        <v>0.68779999999999997</v>
      </c>
      <c r="I459" t="s">
        <v>29</v>
      </c>
      <c r="J459" s="4">
        <v>42</v>
      </c>
      <c r="K459" s="4">
        <v>15</v>
      </c>
      <c r="L459" s="4">
        <v>200</v>
      </c>
      <c r="M459" s="4">
        <v>242</v>
      </c>
      <c r="N459" t="s">
        <v>30</v>
      </c>
      <c r="O459" t="s">
        <v>31</v>
      </c>
      <c r="P459" s="4" t="str">
        <f t="shared" si="7"/>
        <v>OK</v>
      </c>
    </row>
    <row r="460" spans="1:16">
      <c r="A460" t="s">
        <v>940</v>
      </c>
      <c r="B460" t="s">
        <v>941</v>
      </c>
      <c r="C460" t="s">
        <v>34</v>
      </c>
      <c r="D460" t="s">
        <v>28</v>
      </c>
      <c r="E460" s="1">
        <v>349</v>
      </c>
      <c r="F460" s="1">
        <v>183.24</v>
      </c>
      <c r="G460" s="1">
        <v>165.76</v>
      </c>
      <c r="H460" s="2">
        <v>0.47499999999999998</v>
      </c>
      <c r="I460" t="s">
        <v>29</v>
      </c>
      <c r="J460" s="4">
        <v>61</v>
      </c>
      <c r="K460" s="4">
        <v>15</v>
      </c>
      <c r="L460" s="4">
        <v>16</v>
      </c>
      <c r="M460" s="4">
        <v>77</v>
      </c>
      <c r="N460" t="s">
        <v>30</v>
      </c>
      <c r="O460" t="s">
        <v>31</v>
      </c>
      <c r="P460" s="4" t="str">
        <f t="shared" si="7"/>
        <v>OK</v>
      </c>
    </row>
    <row r="461" spans="1:16">
      <c r="A461" t="s">
        <v>942</v>
      </c>
      <c r="B461" t="s">
        <v>943</v>
      </c>
      <c r="C461" t="s">
        <v>64</v>
      </c>
      <c r="D461" t="s">
        <v>28</v>
      </c>
      <c r="E461" s="1">
        <v>60.41</v>
      </c>
      <c r="F461" s="1">
        <v>40.56</v>
      </c>
      <c r="G461" s="1">
        <v>19.850000000000001</v>
      </c>
      <c r="H461" s="2">
        <v>0.3286</v>
      </c>
      <c r="I461" t="s">
        <v>29</v>
      </c>
      <c r="J461" s="4">
        <v>83</v>
      </c>
      <c r="K461" s="4">
        <v>15</v>
      </c>
      <c r="L461" s="4">
        <v>411</v>
      </c>
      <c r="M461" s="4">
        <v>494</v>
      </c>
      <c r="N461" t="s">
        <v>30</v>
      </c>
      <c r="O461" t="s">
        <v>31</v>
      </c>
      <c r="P461" s="4" t="str">
        <f t="shared" si="7"/>
        <v>OK</v>
      </c>
    </row>
    <row r="462" spans="1:16">
      <c r="A462" t="s">
        <v>944</v>
      </c>
      <c r="B462" t="s">
        <v>945</v>
      </c>
      <c r="C462" t="s">
        <v>64</v>
      </c>
      <c r="D462" t="s">
        <v>28</v>
      </c>
      <c r="E462" s="1">
        <v>53.12</v>
      </c>
      <c r="F462" s="1">
        <v>22.8</v>
      </c>
      <c r="G462" s="1">
        <v>30.32</v>
      </c>
      <c r="H462" s="2">
        <v>0.57079999999999997</v>
      </c>
      <c r="I462" t="s">
        <v>29</v>
      </c>
      <c r="J462" s="4">
        <v>72</v>
      </c>
      <c r="K462" s="4">
        <v>15</v>
      </c>
      <c r="L462" s="4">
        <v>359</v>
      </c>
      <c r="M462" s="4">
        <v>431</v>
      </c>
      <c r="N462" t="s">
        <v>30</v>
      </c>
      <c r="O462" t="s">
        <v>31</v>
      </c>
      <c r="P462" s="4" t="str">
        <f t="shared" si="7"/>
        <v>OK</v>
      </c>
    </row>
    <row r="463" spans="1:16">
      <c r="A463" t="s">
        <v>946</v>
      </c>
      <c r="B463" t="s">
        <v>947</v>
      </c>
      <c r="C463" t="s">
        <v>27</v>
      </c>
      <c r="D463" t="s">
        <v>28</v>
      </c>
      <c r="E463" s="1">
        <v>25.95</v>
      </c>
      <c r="F463" s="1">
        <v>11.14</v>
      </c>
      <c r="G463" s="1">
        <v>14.81</v>
      </c>
      <c r="H463" s="2">
        <v>0.57069999999999999</v>
      </c>
      <c r="I463" t="s">
        <v>29</v>
      </c>
      <c r="J463" s="4">
        <v>55</v>
      </c>
      <c r="K463" s="4">
        <v>15</v>
      </c>
      <c r="L463" s="4">
        <v>163</v>
      </c>
      <c r="M463" s="4">
        <v>218</v>
      </c>
      <c r="N463" t="s">
        <v>30</v>
      </c>
      <c r="O463" t="s">
        <v>31</v>
      </c>
      <c r="P463" s="4" t="str">
        <f t="shared" si="7"/>
        <v>OK</v>
      </c>
    </row>
    <row r="464" spans="1:16">
      <c r="A464" t="s">
        <v>948</v>
      </c>
      <c r="B464" t="s">
        <v>949</v>
      </c>
      <c r="C464" t="s">
        <v>64</v>
      </c>
      <c r="D464" t="s">
        <v>28</v>
      </c>
      <c r="E464" s="1">
        <v>77.84</v>
      </c>
      <c r="F464" s="1">
        <v>44.54</v>
      </c>
      <c r="G464" s="1">
        <v>33.299999999999997</v>
      </c>
      <c r="H464" s="2">
        <v>0.42780000000000001</v>
      </c>
      <c r="I464" t="s">
        <v>29</v>
      </c>
      <c r="J464" s="4">
        <v>70</v>
      </c>
      <c r="K464" s="4">
        <v>15</v>
      </c>
      <c r="L464" s="4">
        <v>184</v>
      </c>
      <c r="M464" s="4">
        <v>254</v>
      </c>
      <c r="N464" t="s">
        <v>30</v>
      </c>
      <c r="O464" t="s">
        <v>31</v>
      </c>
      <c r="P464" s="4" t="str">
        <f t="shared" si="7"/>
        <v>OK</v>
      </c>
    </row>
    <row r="465" spans="1:16">
      <c r="A465" t="s">
        <v>950</v>
      </c>
      <c r="B465" t="s">
        <v>951</v>
      </c>
      <c r="C465" t="s">
        <v>64</v>
      </c>
      <c r="D465" t="s">
        <v>28</v>
      </c>
      <c r="E465" s="1">
        <v>12.79</v>
      </c>
      <c r="F465" s="1">
        <v>6.04</v>
      </c>
      <c r="G465" s="1">
        <v>6.75</v>
      </c>
      <c r="H465" s="2">
        <v>0.52780000000000005</v>
      </c>
      <c r="I465" t="s">
        <v>29</v>
      </c>
      <c r="J465" s="4">
        <v>56</v>
      </c>
      <c r="K465" s="4">
        <v>15</v>
      </c>
      <c r="L465" s="4">
        <v>386</v>
      </c>
      <c r="M465" s="4">
        <v>442</v>
      </c>
      <c r="N465" t="s">
        <v>30</v>
      </c>
      <c r="O465" t="s">
        <v>31</v>
      </c>
      <c r="P465" s="4" t="str">
        <f t="shared" si="7"/>
        <v>OK</v>
      </c>
    </row>
    <row r="466" spans="1:16">
      <c r="A466" t="s">
        <v>952</v>
      </c>
      <c r="B466" t="s">
        <v>953</v>
      </c>
      <c r="C466" t="s">
        <v>64</v>
      </c>
      <c r="D466" t="s">
        <v>28</v>
      </c>
      <c r="E466" s="1">
        <v>29.51</v>
      </c>
      <c r="F466" s="1">
        <v>20.350000000000001</v>
      </c>
      <c r="G466" s="1">
        <v>9.16</v>
      </c>
      <c r="H466" s="2">
        <v>0.31040000000000001</v>
      </c>
      <c r="I466" t="s">
        <v>29</v>
      </c>
      <c r="J466" s="4">
        <v>95</v>
      </c>
      <c r="K466" s="4">
        <v>15</v>
      </c>
      <c r="L466" s="4">
        <v>315</v>
      </c>
      <c r="M466" s="4">
        <v>410</v>
      </c>
      <c r="N466" t="s">
        <v>30</v>
      </c>
      <c r="O466" t="s">
        <v>31</v>
      </c>
      <c r="P466" s="4" t="str">
        <f t="shared" si="7"/>
        <v>OK</v>
      </c>
    </row>
    <row r="467" spans="1:16">
      <c r="A467" t="s">
        <v>954</v>
      </c>
      <c r="B467" t="s">
        <v>955</v>
      </c>
      <c r="C467" t="s">
        <v>64</v>
      </c>
      <c r="D467" t="s">
        <v>28</v>
      </c>
      <c r="E467" s="1">
        <v>106.3</v>
      </c>
      <c r="F467" s="1">
        <v>54.42</v>
      </c>
      <c r="G467" s="1">
        <v>51.88</v>
      </c>
      <c r="H467" s="2">
        <v>0.48810000000000003</v>
      </c>
      <c r="I467" t="s">
        <v>29</v>
      </c>
      <c r="J467" s="4">
        <v>50</v>
      </c>
      <c r="K467" s="4">
        <v>15</v>
      </c>
      <c r="L467" s="4">
        <v>79</v>
      </c>
      <c r="M467" s="4">
        <v>129</v>
      </c>
      <c r="N467" t="s">
        <v>30</v>
      </c>
      <c r="O467" t="s">
        <v>31</v>
      </c>
      <c r="P467" s="4" t="str">
        <f t="shared" si="7"/>
        <v>OK</v>
      </c>
    </row>
    <row r="468" spans="1:16">
      <c r="A468" t="s">
        <v>956</v>
      </c>
      <c r="B468" t="s">
        <v>957</v>
      </c>
      <c r="C468" t="s">
        <v>64</v>
      </c>
      <c r="D468" t="s">
        <v>28</v>
      </c>
      <c r="E468" s="1">
        <v>23.51</v>
      </c>
      <c r="F468" s="1">
        <v>9.25</v>
      </c>
      <c r="G468" s="1">
        <v>14.26</v>
      </c>
      <c r="H468" s="2">
        <v>0.60659999999999992</v>
      </c>
      <c r="I468" t="s">
        <v>29</v>
      </c>
      <c r="J468" s="4">
        <v>72</v>
      </c>
      <c r="K468" s="4">
        <v>15</v>
      </c>
      <c r="L468" s="4">
        <v>123</v>
      </c>
      <c r="M468" s="4">
        <v>195</v>
      </c>
      <c r="N468" t="s">
        <v>30</v>
      </c>
      <c r="O468" t="s">
        <v>31</v>
      </c>
      <c r="P468" s="4" t="str">
        <f t="shared" si="7"/>
        <v>OK</v>
      </c>
    </row>
    <row r="469" spans="1:16">
      <c r="A469" t="s">
        <v>958</v>
      </c>
      <c r="B469" t="s">
        <v>959</v>
      </c>
      <c r="C469" t="s">
        <v>27</v>
      </c>
      <c r="D469" t="s">
        <v>28</v>
      </c>
      <c r="E469" s="1">
        <v>15.79</v>
      </c>
      <c r="F469" s="1">
        <v>9.7899999999999991</v>
      </c>
      <c r="G469" s="1">
        <v>6</v>
      </c>
      <c r="H469" s="2">
        <v>0.38</v>
      </c>
      <c r="I469" t="s">
        <v>29</v>
      </c>
      <c r="J469" s="4">
        <v>94</v>
      </c>
      <c r="K469" s="4">
        <v>15</v>
      </c>
      <c r="L469" s="4">
        <v>285</v>
      </c>
      <c r="M469" s="4">
        <v>379</v>
      </c>
      <c r="N469" t="s">
        <v>30</v>
      </c>
      <c r="O469" t="s">
        <v>31</v>
      </c>
      <c r="P469" s="4" t="str">
        <f t="shared" si="7"/>
        <v>OK</v>
      </c>
    </row>
    <row r="470" spans="1:16">
      <c r="A470" t="s">
        <v>960</v>
      </c>
      <c r="B470" t="s">
        <v>961</v>
      </c>
      <c r="C470" t="s">
        <v>64</v>
      </c>
      <c r="D470" t="s">
        <v>28</v>
      </c>
      <c r="E470" s="1">
        <v>20.32</v>
      </c>
      <c r="F470" s="1">
        <v>8.1199999999999992</v>
      </c>
      <c r="G470" s="1">
        <v>12.2</v>
      </c>
      <c r="H470" s="2">
        <v>0.60040000000000004</v>
      </c>
      <c r="I470" t="s">
        <v>29</v>
      </c>
      <c r="J470" s="4">
        <v>97</v>
      </c>
      <c r="K470" s="4">
        <v>15</v>
      </c>
      <c r="L470" s="4">
        <v>159</v>
      </c>
      <c r="M470" s="4">
        <v>256</v>
      </c>
      <c r="N470" t="s">
        <v>30</v>
      </c>
      <c r="O470" t="s">
        <v>31</v>
      </c>
      <c r="P470" s="4" t="str">
        <f t="shared" si="7"/>
        <v>OK</v>
      </c>
    </row>
    <row r="471" spans="1:16">
      <c r="A471" t="s">
        <v>962</v>
      </c>
      <c r="B471" t="s">
        <v>963</v>
      </c>
      <c r="C471" t="s">
        <v>64</v>
      </c>
      <c r="D471" t="s">
        <v>28</v>
      </c>
      <c r="E471" s="1">
        <v>18.34</v>
      </c>
      <c r="F471" s="1">
        <v>13.02</v>
      </c>
      <c r="G471" s="1">
        <v>5.32</v>
      </c>
      <c r="H471" s="2">
        <v>0.29010000000000002</v>
      </c>
      <c r="I471" t="s">
        <v>29</v>
      </c>
      <c r="J471" s="4">
        <v>79</v>
      </c>
      <c r="K471" s="4">
        <v>15</v>
      </c>
      <c r="L471" s="4">
        <v>83</v>
      </c>
      <c r="M471" s="4">
        <v>162</v>
      </c>
      <c r="N471" t="s">
        <v>30</v>
      </c>
      <c r="O471" t="s">
        <v>31</v>
      </c>
      <c r="P471" s="4" t="str">
        <f t="shared" si="7"/>
        <v>OK</v>
      </c>
    </row>
    <row r="472" spans="1:16">
      <c r="A472" t="s">
        <v>964</v>
      </c>
      <c r="B472" t="s">
        <v>965</v>
      </c>
      <c r="C472" t="s">
        <v>64</v>
      </c>
      <c r="D472" t="s">
        <v>28</v>
      </c>
      <c r="E472" s="1">
        <v>19.54</v>
      </c>
      <c r="F472" s="1">
        <v>7.59</v>
      </c>
      <c r="G472" s="1">
        <v>11.95</v>
      </c>
      <c r="H472" s="2">
        <v>0.61159999999999992</v>
      </c>
      <c r="I472" t="s">
        <v>29</v>
      </c>
      <c r="J472" s="4">
        <v>82</v>
      </c>
      <c r="K472" s="4">
        <v>15</v>
      </c>
      <c r="L472" s="4">
        <v>246</v>
      </c>
      <c r="M472" s="4">
        <v>328</v>
      </c>
      <c r="N472" t="s">
        <v>30</v>
      </c>
      <c r="O472" t="s">
        <v>31</v>
      </c>
      <c r="P472" s="4" t="str">
        <f t="shared" si="7"/>
        <v>OK</v>
      </c>
    </row>
    <row r="473" spans="1:16">
      <c r="A473" t="s">
        <v>966</v>
      </c>
      <c r="B473" t="s">
        <v>967</v>
      </c>
      <c r="C473" t="s">
        <v>64</v>
      </c>
      <c r="D473" t="s">
        <v>28</v>
      </c>
      <c r="E473" s="1">
        <v>62.36</v>
      </c>
      <c r="F473" s="1">
        <v>40.85</v>
      </c>
      <c r="G473" s="1">
        <v>21.51</v>
      </c>
      <c r="H473" s="2">
        <v>0.34490000000000004</v>
      </c>
      <c r="I473" t="s">
        <v>29</v>
      </c>
      <c r="J473" s="4">
        <v>24</v>
      </c>
      <c r="K473" s="4">
        <v>15</v>
      </c>
      <c r="L473" s="4">
        <v>243</v>
      </c>
      <c r="M473" s="4">
        <v>267</v>
      </c>
      <c r="N473" t="s">
        <v>30</v>
      </c>
      <c r="O473" t="s">
        <v>31</v>
      </c>
      <c r="P473" s="4" t="str">
        <f t="shared" si="7"/>
        <v>OK</v>
      </c>
    </row>
    <row r="474" spans="1:16">
      <c r="A474" t="s">
        <v>968</v>
      </c>
      <c r="B474" t="s">
        <v>969</v>
      </c>
      <c r="C474" t="s">
        <v>64</v>
      </c>
      <c r="D474" t="s">
        <v>28</v>
      </c>
      <c r="E474" s="1">
        <v>19.399999999999999</v>
      </c>
      <c r="F474" s="1">
        <v>11.29</v>
      </c>
      <c r="G474" s="1">
        <v>8.11</v>
      </c>
      <c r="H474" s="2">
        <v>0.41799999999999998</v>
      </c>
      <c r="I474" t="s">
        <v>29</v>
      </c>
      <c r="J474" s="4">
        <v>9</v>
      </c>
      <c r="K474" s="4">
        <v>15</v>
      </c>
      <c r="L474" s="4">
        <v>237</v>
      </c>
      <c r="M474" s="4">
        <v>246</v>
      </c>
      <c r="N474" t="s">
        <v>73</v>
      </c>
      <c r="O474" t="s">
        <v>31</v>
      </c>
      <c r="P474" s="4" t="str">
        <f t="shared" si="7"/>
        <v>OK</v>
      </c>
    </row>
    <row r="475" spans="1:16">
      <c r="A475" t="s">
        <v>970</v>
      </c>
      <c r="B475" t="s">
        <v>971</v>
      </c>
      <c r="C475" t="s">
        <v>34</v>
      </c>
      <c r="D475" t="s">
        <v>28</v>
      </c>
      <c r="E475" s="1">
        <v>249</v>
      </c>
      <c r="F475" s="1">
        <v>165.18</v>
      </c>
      <c r="G475" s="1">
        <v>83.82</v>
      </c>
      <c r="H475" s="2">
        <v>0.33659999999999995</v>
      </c>
      <c r="I475" t="s">
        <v>29</v>
      </c>
      <c r="J475" s="4">
        <v>75</v>
      </c>
      <c r="K475" s="4">
        <v>15</v>
      </c>
      <c r="L475" s="4">
        <v>138</v>
      </c>
      <c r="M475" s="4">
        <v>213</v>
      </c>
      <c r="N475" t="s">
        <v>30</v>
      </c>
      <c r="O475" t="s">
        <v>31</v>
      </c>
      <c r="P475" s="4" t="str">
        <f t="shared" si="7"/>
        <v>OK</v>
      </c>
    </row>
    <row r="476" spans="1:16">
      <c r="A476" t="s">
        <v>972</v>
      </c>
      <c r="B476" t="s">
        <v>973</v>
      </c>
      <c r="C476" t="s">
        <v>64</v>
      </c>
      <c r="D476" t="s">
        <v>28</v>
      </c>
      <c r="E476" s="1">
        <v>58.37</v>
      </c>
      <c r="F476" s="1">
        <v>28.97</v>
      </c>
      <c r="G476" s="1">
        <v>29.4</v>
      </c>
      <c r="H476" s="2">
        <v>0.50369999999999993</v>
      </c>
      <c r="I476" t="s">
        <v>29</v>
      </c>
      <c r="J476" s="4">
        <v>53</v>
      </c>
      <c r="K476" s="4">
        <v>15</v>
      </c>
      <c r="L476" s="4">
        <v>467</v>
      </c>
      <c r="M476" s="4">
        <v>520</v>
      </c>
      <c r="N476" t="s">
        <v>30</v>
      </c>
      <c r="O476" t="s">
        <v>31</v>
      </c>
      <c r="P476" s="4" t="str">
        <f t="shared" si="7"/>
        <v>OK</v>
      </c>
    </row>
    <row r="477" spans="1:16">
      <c r="A477" t="s">
        <v>974</v>
      </c>
      <c r="B477" t="s">
        <v>975</v>
      </c>
      <c r="C477" t="s">
        <v>64</v>
      </c>
      <c r="D477" t="s">
        <v>28</v>
      </c>
      <c r="E477" s="1">
        <v>44.48</v>
      </c>
      <c r="F477" s="1">
        <v>19.22</v>
      </c>
      <c r="G477" s="1">
        <v>25.26</v>
      </c>
      <c r="H477" s="2">
        <v>0.56789999999999996</v>
      </c>
      <c r="I477" t="s">
        <v>29</v>
      </c>
      <c r="J477" s="4">
        <v>16</v>
      </c>
      <c r="K477" s="4">
        <v>15</v>
      </c>
      <c r="L477" s="4">
        <v>333</v>
      </c>
      <c r="M477" s="4">
        <v>349</v>
      </c>
      <c r="N477" t="s">
        <v>30</v>
      </c>
      <c r="O477" t="s">
        <v>31</v>
      </c>
      <c r="P477" s="4" t="str">
        <f t="shared" si="7"/>
        <v>OK</v>
      </c>
    </row>
    <row r="478" spans="1:16">
      <c r="A478" t="s">
        <v>976</v>
      </c>
      <c r="B478" t="s">
        <v>977</v>
      </c>
      <c r="C478" t="s">
        <v>27</v>
      </c>
      <c r="D478" t="s">
        <v>28</v>
      </c>
      <c r="E478" s="1">
        <v>26.31</v>
      </c>
      <c r="F478" s="1">
        <v>12.55</v>
      </c>
      <c r="G478" s="1">
        <v>13.76</v>
      </c>
      <c r="H478" s="2">
        <v>0.52300000000000002</v>
      </c>
      <c r="I478" t="s">
        <v>29</v>
      </c>
      <c r="J478" s="4">
        <v>92</v>
      </c>
      <c r="K478" s="4">
        <v>15</v>
      </c>
      <c r="L478" s="4">
        <v>238</v>
      </c>
      <c r="M478" s="4">
        <v>330</v>
      </c>
      <c r="N478" t="s">
        <v>30</v>
      </c>
      <c r="O478" t="s">
        <v>31</v>
      </c>
      <c r="P478" s="4" t="str">
        <f t="shared" si="7"/>
        <v>OK</v>
      </c>
    </row>
    <row r="479" spans="1:16">
      <c r="A479" t="s">
        <v>978</v>
      </c>
      <c r="B479" t="s">
        <v>979</v>
      </c>
      <c r="C479" t="s">
        <v>64</v>
      </c>
      <c r="D479" t="s">
        <v>28</v>
      </c>
      <c r="E479" s="1">
        <v>34.4</v>
      </c>
      <c r="F479" s="1">
        <v>25.54</v>
      </c>
      <c r="G479" s="1">
        <v>8.86</v>
      </c>
      <c r="H479" s="2">
        <v>0.2576</v>
      </c>
      <c r="I479" t="s">
        <v>29</v>
      </c>
      <c r="J479" s="4">
        <v>7</v>
      </c>
      <c r="K479" s="4">
        <v>15</v>
      </c>
      <c r="L479" s="4">
        <v>464</v>
      </c>
      <c r="M479" s="4">
        <v>471</v>
      </c>
      <c r="N479" t="s">
        <v>73</v>
      </c>
      <c r="O479" t="s">
        <v>31</v>
      </c>
      <c r="P479" s="4" t="str">
        <f t="shared" si="7"/>
        <v>OK</v>
      </c>
    </row>
    <row r="480" spans="1:16">
      <c r="A480" t="s">
        <v>980</v>
      </c>
      <c r="B480" t="s">
        <v>981</v>
      </c>
      <c r="C480" t="s">
        <v>64</v>
      </c>
      <c r="D480" t="s">
        <v>28</v>
      </c>
      <c r="E480" s="1">
        <v>40.18</v>
      </c>
      <c r="F480" s="1">
        <v>27.81</v>
      </c>
      <c r="G480" s="1">
        <v>12.37</v>
      </c>
      <c r="H480" s="2">
        <v>0.30790000000000001</v>
      </c>
      <c r="I480" t="s">
        <v>29</v>
      </c>
      <c r="J480" s="4">
        <v>0</v>
      </c>
      <c r="K480" s="4">
        <v>15</v>
      </c>
      <c r="L480" s="4">
        <v>432</v>
      </c>
      <c r="M480" s="4">
        <v>432</v>
      </c>
      <c r="N480" t="s">
        <v>19</v>
      </c>
      <c r="O480" t="s">
        <v>20</v>
      </c>
      <c r="P480" s="4" t="str">
        <f t="shared" si="7"/>
        <v>OK</v>
      </c>
    </row>
    <row r="481" spans="1:16">
      <c r="A481" t="s">
        <v>982</v>
      </c>
      <c r="B481" t="s">
        <v>983</v>
      </c>
      <c r="C481" t="s">
        <v>78</v>
      </c>
      <c r="D481" t="s">
        <v>28</v>
      </c>
      <c r="E481" s="1">
        <v>45.98</v>
      </c>
      <c r="F481" s="1">
        <v>20.46</v>
      </c>
      <c r="G481" s="1">
        <v>25.52</v>
      </c>
      <c r="H481" s="2">
        <v>0.55500000000000005</v>
      </c>
      <c r="I481" t="s">
        <v>29</v>
      </c>
      <c r="J481" s="4">
        <v>100</v>
      </c>
      <c r="K481" s="4">
        <v>15</v>
      </c>
      <c r="L481" s="4">
        <v>289</v>
      </c>
      <c r="M481" s="4">
        <v>389</v>
      </c>
      <c r="N481" t="s">
        <v>30</v>
      </c>
      <c r="O481" t="s">
        <v>31</v>
      </c>
      <c r="P481" s="4" t="str">
        <f t="shared" si="7"/>
        <v>OK</v>
      </c>
    </row>
    <row r="482" spans="1:16">
      <c r="A482" t="s">
        <v>984</v>
      </c>
      <c r="B482" t="s">
        <v>985</v>
      </c>
      <c r="C482" t="s">
        <v>122</v>
      </c>
      <c r="D482" t="s">
        <v>28</v>
      </c>
      <c r="E482" s="1">
        <v>50.01</v>
      </c>
      <c r="F482" s="1">
        <v>27.69</v>
      </c>
      <c r="G482" s="1">
        <v>22.32</v>
      </c>
      <c r="H482" s="2">
        <v>0.44630000000000003</v>
      </c>
      <c r="I482" t="s">
        <v>29</v>
      </c>
      <c r="J482" s="4">
        <v>85</v>
      </c>
      <c r="K482" s="4">
        <v>15</v>
      </c>
      <c r="L482" s="4">
        <v>271</v>
      </c>
      <c r="M482" s="4">
        <v>356</v>
      </c>
      <c r="N482" t="s">
        <v>30</v>
      </c>
      <c r="O482" t="s">
        <v>31</v>
      </c>
      <c r="P482" s="4" t="str">
        <f t="shared" si="7"/>
        <v>OK</v>
      </c>
    </row>
    <row r="483" spans="1:16">
      <c r="A483" t="s">
        <v>986</v>
      </c>
      <c r="B483" t="s">
        <v>987</v>
      </c>
      <c r="C483" t="s">
        <v>122</v>
      </c>
      <c r="D483" t="s">
        <v>28</v>
      </c>
      <c r="E483" s="1">
        <v>71.19</v>
      </c>
      <c r="F483" s="1">
        <v>25.5</v>
      </c>
      <c r="G483" s="1">
        <v>45.69</v>
      </c>
      <c r="H483" s="2">
        <v>0.64180000000000004</v>
      </c>
      <c r="I483" t="s">
        <v>29</v>
      </c>
      <c r="J483" s="4">
        <v>45</v>
      </c>
      <c r="K483" s="4">
        <v>15</v>
      </c>
      <c r="L483" s="4">
        <v>396</v>
      </c>
      <c r="M483" s="4">
        <v>441</v>
      </c>
      <c r="N483" t="s">
        <v>30</v>
      </c>
      <c r="O483" t="s">
        <v>31</v>
      </c>
      <c r="P483" s="4" t="str">
        <f t="shared" si="7"/>
        <v>OK</v>
      </c>
    </row>
    <row r="484" spans="1:16">
      <c r="A484" t="s">
        <v>988</v>
      </c>
      <c r="B484" t="s">
        <v>989</v>
      </c>
      <c r="C484" t="s">
        <v>39</v>
      </c>
      <c r="D484" t="s">
        <v>28</v>
      </c>
      <c r="E484" s="1">
        <v>56.06</v>
      </c>
      <c r="F484" s="1">
        <v>18.27</v>
      </c>
      <c r="G484" s="1">
        <v>37.79</v>
      </c>
      <c r="H484" s="2">
        <v>0.67409999999999992</v>
      </c>
      <c r="I484" t="s">
        <v>29</v>
      </c>
      <c r="J484" s="4">
        <v>38</v>
      </c>
      <c r="K484" s="4">
        <v>15</v>
      </c>
      <c r="L484" s="4">
        <v>0</v>
      </c>
      <c r="M484" s="4">
        <v>38</v>
      </c>
      <c r="N484" t="s">
        <v>30</v>
      </c>
      <c r="O484" t="s">
        <v>31</v>
      </c>
      <c r="P484" s="4" t="str">
        <f t="shared" si="7"/>
        <v>OK</v>
      </c>
    </row>
    <row r="485" spans="1:16">
      <c r="A485" t="s">
        <v>990</v>
      </c>
      <c r="B485" t="s">
        <v>991</v>
      </c>
      <c r="C485" t="s">
        <v>122</v>
      </c>
      <c r="D485" t="s">
        <v>28</v>
      </c>
      <c r="E485" s="1">
        <v>19.43</v>
      </c>
      <c r="F485" s="1">
        <v>9.4700000000000006</v>
      </c>
      <c r="G485" s="1">
        <v>9.9600000000000009</v>
      </c>
      <c r="H485" s="2">
        <v>0.51259999999999994</v>
      </c>
      <c r="I485" t="s">
        <v>29</v>
      </c>
      <c r="J485" s="4">
        <v>66</v>
      </c>
      <c r="K485" s="4">
        <v>15</v>
      </c>
      <c r="L485" s="4">
        <v>260</v>
      </c>
      <c r="M485" s="4">
        <v>326</v>
      </c>
      <c r="N485" t="s">
        <v>30</v>
      </c>
      <c r="O485" t="s">
        <v>31</v>
      </c>
      <c r="P485" s="4" t="str">
        <f t="shared" si="7"/>
        <v>OK</v>
      </c>
    </row>
    <row r="486" spans="1:16">
      <c r="A486" t="s">
        <v>992</v>
      </c>
      <c r="B486" t="s">
        <v>993</v>
      </c>
      <c r="C486" t="s">
        <v>122</v>
      </c>
      <c r="D486" t="s">
        <v>28</v>
      </c>
      <c r="E486" s="1">
        <v>120.69</v>
      </c>
      <c r="F486" s="1">
        <v>60.33</v>
      </c>
      <c r="G486" s="1">
        <v>60.36</v>
      </c>
      <c r="H486" s="2">
        <v>0.50009999999999999</v>
      </c>
      <c r="I486" t="s">
        <v>29</v>
      </c>
      <c r="J486" s="4">
        <v>65</v>
      </c>
      <c r="K486" s="4">
        <v>15</v>
      </c>
      <c r="L486" s="4">
        <v>312</v>
      </c>
      <c r="M486" s="4">
        <v>377</v>
      </c>
      <c r="N486" t="s">
        <v>30</v>
      </c>
      <c r="O486" t="s">
        <v>31</v>
      </c>
      <c r="P486" s="4" t="str">
        <f t="shared" si="7"/>
        <v>OK</v>
      </c>
    </row>
    <row r="487" spans="1:16">
      <c r="A487" t="s">
        <v>994</v>
      </c>
      <c r="B487" t="s">
        <v>995</v>
      </c>
      <c r="C487" t="s">
        <v>39</v>
      </c>
      <c r="D487" t="s">
        <v>28</v>
      </c>
      <c r="E487" s="1">
        <v>14.66</v>
      </c>
      <c r="F487" s="1">
        <v>6.63</v>
      </c>
      <c r="G487" s="1">
        <v>8.0299999999999994</v>
      </c>
      <c r="H487" s="2">
        <v>0.54770000000000008</v>
      </c>
      <c r="I487" t="s">
        <v>29</v>
      </c>
      <c r="J487" s="4">
        <v>66</v>
      </c>
      <c r="K487" s="4">
        <v>15</v>
      </c>
      <c r="L487" s="4">
        <v>120</v>
      </c>
      <c r="M487" s="4">
        <v>186</v>
      </c>
      <c r="N487" t="s">
        <v>30</v>
      </c>
      <c r="O487" t="s">
        <v>31</v>
      </c>
      <c r="P487" s="4" t="str">
        <f t="shared" si="7"/>
        <v>OK</v>
      </c>
    </row>
    <row r="488" spans="1:16">
      <c r="A488" t="s">
        <v>996</v>
      </c>
      <c r="B488" t="s">
        <v>997</v>
      </c>
      <c r="C488" t="s">
        <v>122</v>
      </c>
      <c r="D488" t="s">
        <v>28</v>
      </c>
      <c r="E488" s="1">
        <v>462.91</v>
      </c>
      <c r="F488" s="1">
        <v>264.08</v>
      </c>
      <c r="G488" s="1">
        <v>198.83</v>
      </c>
      <c r="H488" s="2">
        <v>0.42950000000000005</v>
      </c>
      <c r="I488" t="s">
        <v>29</v>
      </c>
      <c r="J488" s="4">
        <v>84</v>
      </c>
      <c r="K488" s="4">
        <v>15</v>
      </c>
      <c r="L488" s="4">
        <v>89</v>
      </c>
      <c r="M488" s="4">
        <v>173</v>
      </c>
      <c r="N488" t="s">
        <v>30</v>
      </c>
      <c r="O488" t="s">
        <v>31</v>
      </c>
      <c r="P488" s="4" t="str">
        <f t="shared" si="7"/>
        <v>OK</v>
      </c>
    </row>
    <row r="489" spans="1:16">
      <c r="A489" t="s">
        <v>998</v>
      </c>
      <c r="B489" t="s">
        <v>999</v>
      </c>
      <c r="C489" t="s">
        <v>122</v>
      </c>
      <c r="D489" t="s">
        <v>28</v>
      </c>
      <c r="E489" s="1">
        <v>56.86</v>
      </c>
      <c r="F489" s="1">
        <v>40.299999999999997</v>
      </c>
      <c r="G489" s="1">
        <v>16.559999999999999</v>
      </c>
      <c r="H489" s="2">
        <v>0.29120000000000001</v>
      </c>
      <c r="I489" t="s">
        <v>29</v>
      </c>
      <c r="J489" s="4">
        <v>53</v>
      </c>
      <c r="K489" s="4">
        <v>15</v>
      </c>
      <c r="L489" s="4">
        <v>121</v>
      </c>
      <c r="M489" s="4">
        <v>174</v>
      </c>
      <c r="N489" t="s">
        <v>30</v>
      </c>
      <c r="O489" t="s">
        <v>31</v>
      </c>
      <c r="P489" s="4" t="str">
        <f t="shared" si="7"/>
        <v>OK</v>
      </c>
    </row>
    <row r="490" spans="1:16">
      <c r="A490" t="s">
        <v>1000</v>
      </c>
      <c r="B490" t="s">
        <v>1001</v>
      </c>
      <c r="C490" t="s">
        <v>281</v>
      </c>
      <c r="D490" t="s">
        <v>28</v>
      </c>
      <c r="E490" s="1">
        <v>39.25</v>
      </c>
      <c r="F490" s="1">
        <v>27.81</v>
      </c>
      <c r="G490" s="1">
        <v>11.44</v>
      </c>
      <c r="H490" s="2">
        <v>0.29149999999999998</v>
      </c>
      <c r="I490" t="s">
        <v>29</v>
      </c>
      <c r="J490" s="4">
        <v>33</v>
      </c>
      <c r="K490" s="4">
        <v>15</v>
      </c>
      <c r="L490" s="4">
        <v>213</v>
      </c>
      <c r="M490" s="4">
        <v>246</v>
      </c>
      <c r="N490" t="s">
        <v>30</v>
      </c>
      <c r="O490" t="s">
        <v>31</v>
      </c>
      <c r="P490" s="4" t="str">
        <f t="shared" si="7"/>
        <v>OK</v>
      </c>
    </row>
    <row r="491" spans="1:16">
      <c r="A491" t="s">
        <v>1002</v>
      </c>
      <c r="B491" t="s">
        <v>1003</v>
      </c>
      <c r="C491" t="s">
        <v>122</v>
      </c>
      <c r="D491" t="s">
        <v>28</v>
      </c>
      <c r="E491" s="1">
        <v>11.33</v>
      </c>
      <c r="F491" s="1">
        <v>7.83</v>
      </c>
      <c r="G491" s="1">
        <v>3.5</v>
      </c>
      <c r="H491" s="2">
        <v>0.30890000000000001</v>
      </c>
      <c r="I491" t="s">
        <v>29</v>
      </c>
      <c r="J491" s="4">
        <v>41</v>
      </c>
      <c r="K491" s="4">
        <v>15</v>
      </c>
      <c r="L491" s="4">
        <v>500</v>
      </c>
      <c r="M491" s="4">
        <v>541</v>
      </c>
      <c r="N491" t="s">
        <v>30</v>
      </c>
      <c r="O491" t="s">
        <v>31</v>
      </c>
      <c r="P491" s="4" t="str">
        <f t="shared" si="7"/>
        <v>OK</v>
      </c>
    </row>
    <row r="492" spans="1:16">
      <c r="A492" t="s">
        <v>1004</v>
      </c>
      <c r="B492" t="s">
        <v>1005</v>
      </c>
      <c r="C492" t="s">
        <v>122</v>
      </c>
      <c r="D492" t="s">
        <v>28</v>
      </c>
      <c r="E492" s="1">
        <v>139.4</v>
      </c>
      <c r="F492" s="1">
        <v>47.02</v>
      </c>
      <c r="G492" s="1">
        <v>92.38</v>
      </c>
      <c r="H492" s="2">
        <v>0.66269999999999996</v>
      </c>
      <c r="I492" t="s">
        <v>29</v>
      </c>
      <c r="J492" s="4">
        <v>61</v>
      </c>
      <c r="K492" s="4">
        <v>15</v>
      </c>
      <c r="L492" s="4">
        <v>197</v>
      </c>
      <c r="M492" s="4">
        <v>258</v>
      </c>
      <c r="N492" t="s">
        <v>30</v>
      </c>
      <c r="O492" t="s">
        <v>31</v>
      </c>
      <c r="P492" s="4" t="str">
        <f t="shared" si="7"/>
        <v>OK</v>
      </c>
    </row>
    <row r="493" spans="1:16">
      <c r="A493" t="s">
        <v>1006</v>
      </c>
      <c r="B493" t="s">
        <v>1007</v>
      </c>
      <c r="C493" t="s">
        <v>122</v>
      </c>
      <c r="D493" t="s">
        <v>28</v>
      </c>
      <c r="E493" s="1">
        <v>16.8</v>
      </c>
      <c r="F493" s="1">
        <v>9.18</v>
      </c>
      <c r="G493" s="1">
        <v>7.62</v>
      </c>
      <c r="H493" s="2">
        <v>0.4536</v>
      </c>
      <c r="I493" t="s">
        <v>29</v>
      </c>
      <c r="J493" s="4">
        <v>32</v>
      </c>
      <c r="K493" s="4">
        <v>15</v>
      </c>
      <c r="L493" s="4">
        <v>188</v>
      </c>
      <c r="M493" s="4">
        <v>220</v>
      </c>
      <c r="N493" t="s">
        <v>30</v>
      </c>
      <c r="O493" t="s">
        <v>31</v>
      </c>
      <c r="P493" s="4" t="str">
        <f t="shared" si="7"/>
        <v>OK</v>
      </c>
    </row>
    <row r="494" spans="1:16">
      <c r="A494" t="s">
        <v>1008</v>
      </c>
      <c r="B494" t="s">
        <v>612</v>
      </c>
      <c r="C494" t="s">
        <v>122</v>
      </c>
      <c r="D494" t="s">
        <v>28</v>
      </c>
      <c r="E494" s="1">
        <v>44.59</v>
      </c>
      <c r="F494" s="1">
        <v>22.72</v>
      </c>
      <c r="G494" s="1">
        <v>21.87</v>
      </c>
      <c r="H494" s="2">
        <v>0.49049999999999999</v>
      </c>
      <c r="I494" t="s">
        <v>29</v>
      </c>
      <c r="J494" s="4">
        <v>5</v>
      </c>
      <c r="K494" s="4">
        <v>15</v>
      </c>
      <c r="L494" s="4">
        <v>323</v>
      </c>
      <c r="M494" s="4">
        <v>328</v>
      </c>
      <c r="N494" t="s">
        <v>73</v>
      </c>
      <c r="O494" t="s">
        <v>31</v>
      </c>
      <c r="P494" s="4" t="str">
        <f t="shared" si="7"/>
        <v>DUPLICATE</v>
      </c>
    </row>
    <row r="495" spans="1:16">
      <c r="A495" t="s">
        <v>1009</v>
      </c>
      <c r="B495" t="s">
        <v>1010</v>
      </c>
      <c r="C495" t="s">
        <v>122</v>
      </c>
      <c r="D495" t="s">
        <v>28</v>
      </c>
      <c r="E495" s="1">
        <v>84.95</v>
      </c>
      <c r="F495" s="1">
        <v>61.32</v>
      </c>
      <c r="G495" s="1">
        <v>23.63</v>
      </c>
      <c r="H495" s="2">
        <v>0.2782</v>
      </c>
      <c r="I495" t="s">
        <v>29</v>
      </c>
      <c r="J495" s="4">
        <v>67</v>
      </c>
      <c r="K495" s="4">
        <v>15</v>
      </c>
      <c r="L495" s="4">
        <v>86</v>
      </c>
      <c r="M495" s="4">
        <v>153</v>
      </c>
      <c r="N495" t="s">
        <v>30</v>
      </c>
      <c r="O495" t="s">
        <v>31</v>
      </c>
      <c r="P495" s="4" t="str">
        <f t="shared" si="7"/>
        <v>OK</v>
      </c>
    </row>
    <row r="496" spans="1:16">
      <c r="A496" t="s">
        <v>1011</v>
      </c>
      <c r="B496" t="s">
        <v>1012</v>
      </c>
      <c r="C496" t="s">
        <v>85</v>
      </c>
      <c r="D496" t="s">
        <v>28</v>
      </c>
      <c r="E496" s="1">
        <v>141.80000000000001</v>
      </c>
      <c r="F496" s="1">
        <v>64.510000000000005</v>
      </c>
      <c r="G496" s="1">
        <v>77.290000000000006</v>
      </c>
      <c r="H496" s="2">
        <v>0.54510000000000003</v>
      </c>
      <c r="I496" t="s">
        <v>29</v>
      </c>
      <c r="J496" s="4">
        <v>64</v>
      </c>
      <c r="K496" s="4">
        <v>15</v>
      </c>
      <c r="L496" s="4">
        <v>301</v>
      </c>
      <c r="M496" s="4">
        <v>365</v>
      </c>
      <c r="N496" t="s">
        <v>30</v>
      </c>
      <c r="O496" t="s">
        <v>31</v>
      </c>
      <c r="P496" s="4" t="str">
        <f t="shared" si="7"/>
        <v>OK</v>
      </c>
    </row>
    <row r="497" spans="1:17">
      <c r="A497" t="s">
        <v>1013</v>
      </c>
      <c r="B497" t="s">
        <v>1014</v>
      </c>
      <c r="C497" t="s">
        <v>122</v>
      </c>
      <c r="D497" t="s">
        <v>28</v>
      </c>
      <c r="E497" s="1">
        <v>24.52</v>
      </c>
      <c r="F497" s="1">
        <v>8.77</v>
      </c>
      <c r="G497" s="1">
        <v>15.75</v>
      </c>
      <c r="H497" s="2">
        <v>0.64230000000000009</v>
      </c>
      <c r="I497" t="s">
        <v>29</v>
      </c>
      <c r="J497" s="4">
        <v>60</v>
      </c>
      <c r="K497" s="4">
        <v>15</v>
      </c>
      <c r="L497" s="4">
        <v>493</v>
      </c>
      <c r="M497" s="4">
        <v>553</v>
      </c>
      <c r="N497" t="s">
        <v>30</v>
      </c>
      <c r="O497" t="s">
        <v>31</v>
      </c>
      <c r="P497" s="4" t="str">
        <f t="shared" si="7"/>
        <v>OK</v>
      </c>
    </row>
    <row r="498" spans="1:17">
      <c r="A498" t="s">
        <v>1015</v>
      </c>
      <c r="B498" t="s">
        <v>1016</v>
      </c>
      <c r="C498" t="s">
        <v>122</v>
      </c>
      <c r="D498" t="s">
        <v>28</v>
      </c>
      <c r="E498" s="1">
        <v>25.16</v>
      </c>
      <c r="F498" s="1">
        <v>18.5</v>
      </c>
      <c r="G498" s="1">
        <v>6.66</v>
      </c>
      <c r="H498" s="2">
        <v>0.26469999999999999</v>
      </c>
      <c r="I498" t="s">
        <v>29</v>
      </c>
      <c r="J498" s="4">
        <v>97</v>
      </c>
      <c r="K498" s="4">
        <v>15</v>
      </c>
      <c r="L498" s="4">
        <v>155</v>
      </c>
      <c r="M498" s="4">
        <v>252</v>
      </c>
      <c r="N498" t="s">
        <v>30</v>
      </c>
      <c r="O498" t="s">
        <v>31</v>
      </c>
      <c r="P498" s="4" t="str">
        <f t="shared" si="7"/>
        <v>OK</v>
      </c>
    </row>
    <row r="499" spans="1:17">
      <c r="A499" t="s">
        <v>1017</v>
      </c>
      <c r="B499" t="s">
        <v>1018</v>
      </c>
      <c r="C499" t="s">
        <v>281</v>
      </c>
      <c r="D499" t="s">
        <v>28</v>
      </c>
      <c r="E499" s="1">
        <v>27.16</v>
      </c>
      <c r="F499" s="1">
        <v>13.23</v>
      </c>
      <c r="G499" s="1">
        <v>13.93</v>
      </c>
      <c r="H499" s="2">
        <v>0.51290000000000002</v>
      </c>
      <c r="I499" t="s">
        <v>29</v>
      </c>
      <c r="J499" s="4">
        <v>36</v>
      </c>
      <c r="K499" s="4">
        <v>15</v>
      </c>
      <c r="L499" s="4">
        <v>82</v>
      </c>
      <c r="M499" s="4">
        <v>118</v>
      </c>
      <c r="N499" t="s">
        <v>30</v>
      </c>
      <c r="O499" t="s">
        <v>31</v>
      </c>
      <c r="P499" s="4" t="str">
        <f t="shared" si="7"/>
        <v>OK</v>
      </c>
    </row>
    <row r="500" spans="1:17">
      <c r="A500" t="s">
        <v>1019</v>
      </c>
      <c r="B500" t="s">
        <v>1020</v>
      </c>
      <c r="C500" t="s">
        <v>122</v>
      </c>
      <c r="D500" t="s">
        <v>28</v>
      </c>
      <c r="E500" s="1">
        <v>110.27</v>
      </c>
      <c r="F500" s="1">
        <v>55.62</v>
      </c>
      <c r="G500" s="1">
        <v>54.65</v>
      </c>
      <c r="H500" s="2">
        <v>0.49560000000000004</v>
      </c>
      <c r="I500" t="s">
        <v>29</v>
      </c>
      <c r="J500" s="4">
        <v>32</v>
      </c>
      <c r="K500" s="4">
        <v>15</v>
      </c>
      <c r="L500" s="4">
        <v>315</v>
      </c>
      <c r="M500" s="4">
        <v>347</v>
      </c>
      <c r="N500" t="s">
        <v>30</v>
      </c>
      <c r="O500" t="s">
        <v>31</v>
      </c>
      <c r="P500" s="4" t="str">
        <f t="shared" si="7"/>
        <v>OK</v>
      </c>
    </row>
    <row r="501" spans="1:17">
      <c r="A501" t="s">
        <v>1021</v>
      </c>
      <c r="B501" t="s">
        <v>1022</v>
      </c>
      <c r="C501" t="s">
        <v>122</v>
      </c>
      <c r="D501" t="s">
        <v>28</v>
      </c>
      <c r="E501" s="1">
        <v>49.81</v>
      </c>
      <c r="F501" s="1">
        <v>20.14</v>
      </c>
      <c r="G501" s="1">
        <v>29.67</v>
      </c>
      <c r="H501" s="2">
        <v>0.59570000000000001</v>
      </c>
      <c r="I501" t="s">
        <v>29</v>
      </c>
      <c r="J501" s="4">
        <v>2</v>
      </c>
      <c r="K501" s="4">
        <v>15</v>
      </c>
      <c r="L501" s="4">
        <v>418</v>
      </c>
      <c r="M501" s="4">
        <v>420</v>
      </c>
      <c r="N501" t="s">
        <v>73</v>
      </c>
      <c r="O501" t="s">
        <v>31</v>
      </c>
      <c r="P501" s="4" t="str">
        <f t="shared" si="7"/>
        <v>OK</v>
      </c>
    </row>
    <row r="502" spans="1:17">
      <c r="A502" t="s">
        <v>1023</v>
      </c>
      <c r="B502" t="s">
        <v>1024</v>
      </c>
      <c r="C502" t="s">
        <v>27</v>
      </c>
      <c r="D502" t="s">
        <v>28</v>
      </c>
      <c r="E502" s="1">
        <v>19.48</v>
      </c>
      <c r="F502" s="1">
        <v>7.56</v>
      </c>
      <c r="G502" s="1">
        <v>11.92</v>
      </c>
      <c r="H502" s="2">
        <v>0.6119</v>
      </c>
      <c r="I502" t="s">
        <v>29</v>
      </c>
      <c r="J502" s="4">
        <v>68</v>
      </c>
      <c r="K502" s="4">
        <v>15</v>
      </c>
      <c r="L502" s="4">
        <v>97</v>
      </c>
      <c r="M502" s="4">
        <v>165</v>
      </c>
      <c r="N502" t="s">
        <v>30</v>
      </c>
      <c r="O502" t="s">
        <v>31</v>
      </c>
      <c r="P502" s="4" t="str">
        <f t="shared" si="7"/>
        <v>OK</v>
      </c>
    </row>
    <row r="503" spans="1:17">
      <c r="A503" t="s">
        <v>1025</v>
      </c>
      <c r="B503" t="s">
        <v>1026</v>
      </c>
      <c r="C503" t="s">
        <v>122</v>
      </c>
      <c r="D503" t="s">
        <v>28</v>
      </c>
      <c r="E503" s="1">
        <v>17.36</v>
      </c>
      <c r="F503" s="1">
        <v>9.8000000000000007</v>
      </c>
      <c r="G503" s="1">
        <v>7.56</v>
      </c>
      <c r="H503" s="2">
        <v>0.4355</v>
      </c>
      <c r="I503" t="s">
        <v>29</v>
      </c>
      <c r="J503" s="4">
        <v>15</v>
      </c>
      <c r="K503" s="4">
        <v>15</v>
      </c>
      <c r="L503" s="4">
        <v>25</v>
      </c>
      <c r="M503" s="4">
        <v>40</v>
      </c>
      <c r="N503" t="s">
        <v>73</v>
      </c>
      <c r="O503" t="s">
        <v>31</v>
      </c>
      <c r="P503" s="4" t="str">
        <f t="shared" si="7"/>
        <v>OK</v>
      </c>
    </row>
    <row r="504" spans="1:17">
      <c r="A504" t="s">
        <v>1027</v>
      </c>
      <c r="B504" t="s">
        <v>513</v>
      </c>
      <c r="C504" t="s">
        <v>122</v>
      </c>
      <c r="D504" t="s">
        <v>28</v>
      </c>
      <c r="E504" s="1">
        <v>20.97</v>
      </c>
      <c r="F504" s="1">
        <v>13.37</v>
      </c>
      <c r="G504" s="1">
        <v>7.6</v>
      </c>
      <c r="H504" s="2">
        <v>0.3624</v>
      </c>
      <c r="I504" t="s">
        <v>29</v>
      </c>
      <c r="J504" s="4">
        <v>42</v>
      </c>
      <c r="K504" s="4">
        <v>15</v>
      </c>
      <c r="L504" s="4">
        <v>158</v>
      </c>
      <c r="M504" s="4">
        <v>200</v>
      </c>
      <c r="N504" t="s">
        <v>30</v>
      </c>
      <c r="O504" t="s">
        <v>31</v>
      </c>
      <c r="P504" s="4" t="str">
        <f t="shared" si="7"/>
        <v>DUPLICATE</v>
      </c>
    </row>
    <row r="505" spans="1:17">
      <c r="A505" t="s">
        <v>1028</v>
      </c>
      <c r="B505" t="s">
        <v>1029</v>
      </c>
      <c r="C505" t="s">
        <v>64</v>
      </c>
      <c r="D505" t="s">
        <v>28</v>
      </c>
      <c r="E505" s="1">
        <v>91.16</v>
      </c>
      <c r="F505" s="1">
        <v>65.48</v>
      </c>
      <c r="G505" s="1">
        <v>25.68</v>
      </c>
      <c r="H505" s="2">
        <v>0.28170000000000001</v>
      </c>
      <c r="I505" t="s">
        <v>29</v>
      </c>
      <c r="J505" s="4">
        <v>31</v>
      </c>
      <c r="K505" s="4">
        <v>15</v>
      </c>
      <c r="L505" s="4">
        <v>393</v>
      </c>
      <c r="M505" s="4">
        <v>424</v>
      </c>
      <c r="N505" t="s">
        <v>30</v>
      </c>
      <c r="O505" t="s">
        <v>31</v>
      </c>
      <c r="P505" s="4" t="str">
        <f t="shared" si="7"/>
        <v>OK</v>
      </c>
    </row>
    <row r="506" spans="1:17">
      <c r="A506" t="s">
        <v>1030</v>
      </c>
      <c r="B506" t="s">
        <v>1031</v>
      </c>
      <c r="C506" t="s">
        <v>122</v>
      </c>
      <c r="D506" t="s">
        <v>28</v>
      </c>
      <c r="E506" s="1">
        <v>14.69</v>
      </c>
      <c r="F506" s="1">
        <v>6.15</v>
      </c>
      <c r="G506" s="1">
        <v>8.5399999999999991</v>
      </c>
      <c r="H506" s="2">
        <v>0.58130000000000004</v>
      </c>
      <c r="I506" t="s">
        <v>29</v>
      </c>
      <c r="J506" s="4">
        <v>38</v>
      </c>
      <c r="K506" s="4">
        <v>15</v>
      </c>
      <c r="L506" s="4">
        <v>229</v>
      </c>
      <c r="M506" s="4">
        <v>267</v>
      </c>
      <c r="N506" t="s">
        <v>30</v>
      </c>
      <c r="O506" t="s">
        <v>31</v>
      </c>
      <c r="P506" s="4" t="str">
        <f t="shared" si="7"/>
        <v>OK</v>
      </c>
    </row>
    <row r="507" spans="1:17">
      <c r="A507" s="13">
        <f>COUNTA(_xlfn.UNIQUE(A2:A506))</f>
        <v>505</v>
      </c>
      <c r="B507" s="13"/>
      <c r="C507" s="13"/>
      <c r="D507" s="13">
        <f>COUNTIF(D2:D506, "MATCHED")</f>
        <v>500</v>
      </c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P507" s="13"/>
    </row>
    <row r="508" spans="1:17">
      <c r="Q508" s="1"/>
    </row>
    <row r="509" spans="1:17"/>
    <row r="510" spans="1:17"/>
    <row r="511" spans="1:17"/>
    <row r="512" spans="1:17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</sheetData>
  <conditionalFormatting sqref="I2:I506">
    <cfRule type="notContainsText" dxfId="99" priority="16" operator="notContains" text="MARGIN OK">
      <formula>ISERROR(SEARCH("MARGIN OK",I2))</formula>
    </cfRule>
  </conditionalFormatting>
  <conditionalFormatting sqref="N2:N506">
    <cfRule type="beginsWith" dxfId="98" priority="15" operator="beginsWith" text="CRITICAL">
      <formula>LEFT(N2,LEN("CRITICAL"))="CRITICAL"</formula>
    </cfRule>
  </conditionalFormatting>
  <conditionalFormatting sqref="N2:N506">
    <cfRule type="beginsWith" dxfId="97" priority="14" operator="beginsWith" text="WARNING">
      <formula>LEFT(N2,LEN("WARNING"))="WARNING"</formula>
    </cfRule>
  </conditionalFormatting>
  <conditionalFormatting sqref="D2:D506">
    <cfRule type="containsText" dxfId="96" priority="13" operator="containsText" text="SUPPLIER ONLY">
      <formula>NOT(ISERROR(SEARCH("SUPPLIER ONLY",D2)))</formula>
    </cfRule>
  </conditionalFormatting>
  <conditionalFormatting sqref="O2:O506">
    <cfRule type="containsText" dxfId="95" priority="2" operator="containsText" text="Fulfill via dropship">
      <formula>NOT(ISERROR(SEARCH("Fulfill via dropship",O2)))</formula>
    </cfRule>
  </conditionalFormatting>
  <conditionalFormatting sqref="P2:P506">
    <cfRule type="containsText" dxfId="94" priority="1" operator="containsText" text="DUPLICATE">
      <formula>NOT(ISERROR(SEARCH("DUPLICATE",P2)))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DFE94-F7D7-4B6D-847E-6004C23355CA}">
  <dimension ref="B2:N74"/>
  <sheetViews>
    <sheetView showGridLines="0" workbookViewId="0">
      <selection activeCell="P38" sqref="P38"/>
    </sheetView>
  </sheetViews>
  <sheetFormatPr defaultRowHeight="15"/>
  <cols>
    <col min="2" max="2" width="56" customWidth="1"/>
    <col min="3" max="3" width="22.28515625" customWidth="1"/>
    <col min="4" max="4" width="26.7109375" style="1" customWidth="1"/>
    <col min="5" max="5" width="28.28515625" style="1" customWidth="1"/>
    <col min="6" max="6" width="26.28515625" style="1" customWidth="1"/>
    <col min="7" max="7" width="23.42578125" customWidth="1"/>
    <col min="8" max="8" width="28.140625" customWidth="1"/>
  </cols>
  <sheetData>
    <row r="2" spans="2:14" ht="18.75">
      <c r="B2" s="24" t="s">
        <v>1032</v>
      </c>
      <c r="I2" s="29"/>
      <c r="J2" s="29"/>
      <c r="K2" s="29"/>
      <c r="L2" s="29"/>
      <c r="M2" s="29"/>
      <c r="N2" s="29"/>
    </row>
    <row r="3" spans="2:14">
      <c r="B3" s="6" t="s">
        <v>1033</v>
      </c>
      <c r="C3" s="6" t="s">
        <v>1034</v>
      </c>
      <c r="D3" s="6" t="s">
        <v>1035</v>
      </c>
      <c r="E3" s="7" t="s">
        <v>1036</v>
      </c>
      <c r="F3" s="7" t="s">
        <v>1037</v>
      </c>
      <c r="G3" s="7" t="s">
        <v>1038</v>
      </c>
      <c r="H3" s="18" t="s">
        <v>1039</v>
      </c>
      <c r="J3" s="59"/>
      <c r="K3" s="29"/>
      <c r="L3" s="29"/>
      <c r="M3" s="29"/>
      <c r="N3" s="59"/>
    </row>
    <row r="4" spans="2:14">
      <c r="B4" t="s">
        <v>29</v>
      </c>
      <c r="C4">
        <f>COUNTIF(tbl_InventorySupplier[margin_health_status], B4)</f>
        <v>483</v>
      </c>
      <c r="D4" s="10">
        <f>SUMIFS(tbl_InventorySupplier[supplier_stock], tbl_InventorySupplier[margin_health_status], B4)</f>
        <v>116575</v>
      </c>
      <c r="E4" s="1" cm="1">
        <f t="array" ref="E4">SUMPRODUCT((tbl_InventorySupplier[margin_health_status]=B4) * tbl_InventorySupplier[supplier_stock] * tbl_InventorySupplier[current_supplier_cost])</f>
        <v>4362546.2799999993</v>
      </c>
      <c r="F4" s="1" cm="1">
        <f t="array" ref="F4">SUMPRODUCT((tbl_InventorySupplier[margin_health_status]=B4) * tbl_InventorySupplier[supplier_stock] * N(+tbl_InventorySupplier[retail_price]))</f>
        <v>8871134.3200000022</v>
      </c>
      <c r="G4" s="1">
        <f t="shared" ref="G4:G6" si="0">F4 - E4</f>
        <v>4508588.0400000028</v>
      </c>
      <c r="H4" s="2">
        <f t="shared" ref="H4:H6" si="1">IF(F4=0, "N/A", G4 / F4)</f>
        <v>0.50823129008827828</v>
      </c>
      <c r="J4" s="60"/>
      <c r="K4" s="29"/>
      <c r="L4" s="29"/>
      <c r="M4" s="29"/>
      <c r="N4" s="60"/>
    </row>
    <row r="5" spans="2:14">
      <c r="B5" t="s">
        <v>127</v>
      </c>
      <c r="C5">
        <f>COUNTIF(tbl_InventorySupplier[margin_health_status], B5)</f>
        <v>9</v>
      </c>
      <c r="D5" s="10">
        <f>SUMIFS(tbl_InventorySupplier[supplier_stock], tbl_InventorySupplier[margin_health_status], B5)</f>
        <v>2168</v>
      </c>
      <c r="E5" s="1" cm="1">
        <f t="array" ref="E5">SUMPRODUCT((tbl_InventorySupplier[margin_health_status]=B5) * tbl_InventorySupplier[supplier_stock] * tbl_InventorySupplier[current_supplier_cost])</f>
        <v>135344.38</v>
      </c>
      <c r="F5" s="1" cm="1">
        <f t="array" ref="F5">SUMPRODUCT((tbl_InventorySupplier[margin_health_status]=B5) * tbl_InventorySupplier[supplier_stock] * N(+tbl_InventorySupplier[retail_price]))</f>
        <v>118446.39</v>
      </c>
      <c r="G5" s="1">
        <f t="shared" si="0"/>
        <v>-16897.990000000005</v>
      </c>
      <c r="H5" s="2">
        <f t="shared" si="1"/>
        <v>-0.14266361347103956</v>
      </c>
      <c r="J5" s="60"/>
      <c r="K5" s="29"/>
      <c r="L5" s="29"/>
      <c r="M5" s="29"/>
      <c r="N5" s="60"/>
    </row>
    <row r="6" spans="2:14">
      <c r="B6" t="s">
        <v>18</v>
      </c>
      <c r="C6">
        <f>COUNTIF(tbl_InventorySupplier[margin_health_status], B6)</f>
        <v>13</v>
      </c>
      <c r="D6" s="10">
        <f>SUMIFS(tbl_InventorySupplier[supplier_stock], tbl_InventorySupplier[margin_health_status], B6)</f>
        <v>2621</v>
      </c>
      <c r="E6" s="1" cm="1">
        <f t="array" ref="E6">SUMPRODUCT((tbl_InventorySupplier[margin_health_status]=B6) * tbl_InventorySupplier[supplier_stock] * tbl_InventorySupplier[current_supplier_cost])</f>
        <v>78516.159999999989</v>
      </c>
      <c r="F6" s="1" cm="1">
        <f t="array" ref="F6">SUMPRODUCT((tbl_InventorySupplier[margin_health_status]=B6) * tbl_InventorySupplier[supplier_stock] * N(+tbl_InventorySupplier[retail_price]))</f>
        <v>0</v>
      </c>
      <c r="G6" s="1">
        <f t="shared" si="0"/>
        <v>-78516.159999999989</v>
      </c>
      <c r="H6" s="2" t="str">
        <f t="shared" si="1"/>
        <v>N/A</v>
      </c>
      <c r="J6" s="60"/>
      <c r="K6" s="29"/>
      <c r="L6" s="29"/>
      <c r="M6" s="29"/>
      <c r="N6" s="60"/>
    </row>
    <row r="7" spans="2:14">
      <c r="B7" t="s">
        <v>1040</v>
      </c>
      <c r="C7">
        <f>SUBTOTAL(109,C4:C6)</f>
        <v>505</v>
      </c>
      <c r="D7" s="10">
        <f>SUBTOTAL(109,D4:D6)</f>
        <v>121364</v>
      </c>
      <c r="E7" s="16">
        <f>SUBTOTAL(109,E4:E6)</f>
        <v>4576406.8199999994</v>
      </c>
      <c r="F7" s="14">
        <f>SUBTOTAL(109,F4:F6)</f>
        <v>8989580.7100000028</v>
      </c>
      <c r="G7" s="1">
        <f>SUBTOTAL(109,tbl_MarginAudit[Net Profit/Loss])</f>
        <v>4413173.8900000025</v>
      </c>
      <c r="H7" s="2">
        <f>G7/F7</f>
        <v>0.49092099313272658</v>
      </c>
      <c r="J7" s="29"/>
      <c r="K7" s="29"/>
      <c r="L7" s="29"/>
      <c r="M7" s="29"/>
      <c r="N7" s="29"/>
    </row>
    <row r="8" spans="2:14">
      <c r="D8" s="10"/>
      <c r="E8"/>
      <c r="F8"/>
      <c r="J8" s="29"/>
      <c r="K8" s="29"/>
      <c r="L8" s="29"/>
      <c r="M8" s="29"/>
      <c r="N8" s="29"/>
    </row>
    <row r="9" spans="2:14" ht="18.75">
      <c r="B9" s="25" t="s">
        <v>1041</v>
      </c>
      <c r="D9" s="10"/>
      <c r="E9"/>
      <c r="F9"/>
      <c r="J9" s="29"/>
      <c r="K9" s="29"/>
      <c r="L9" s="29"/>
      <c r="M9" s="29"/>
      <c r="N9" s="29"/>
    </row>
    <row r="10" spans="2:14">
      <c r="B10" s="6" t="s">
        <v>1042</v>
      </c>
      <c r="C10" s="9" t="s">
        <v>1034</v>
      </c>
      <c r="D10" s="19" t="s">
        <v>1043</v>
      </c>
      <c r="E10" s="11" t="s">
        <v>1044</v>
      </c>
      <c r="F10" s="9" t="s">
        <v>1035</v>
      </c>
      <c r="G10" s="6" t="s">
        <v>1045</v>
      </c>
      <c r="J10" s="29"/>
      <c r="K10" s="29"/>
      <c r="L10" s="29"/>
      <c r="M10" s="29"/>
      <c r="N10" s="29"/>
    </row>
    <row r="11" spans="2:14" ht="13.5" customHeight="1">
      <c r="B11" t="s">
        <v>30</v>
      </c>
      <c r="C11" s="4">
        <f>COUNTIF(tbl_InventorySupplier[stock_health_status], B11)</f>
        <v>423</v>
      </c>
      <c r="D11" s="10">
        <f>SUMIF(tbl_InventorySupplier[stock_health_status], B11, tbl_InventorySupplier[internal_stock])</f>
        <v>24905</v>
      </c>
      <c r="E11" s="5" cm="1">
        <f t="array" ref="E11">SUMPRODUCT((tbl_InventorySupplier[stock_health_status]=B11)*(tbl_InventorySupplier[internal_stock])*(tbl_InventorySupplier[current_supplier_cost]))</f>
        <v>966003.58000000042</v>
      </c>
      <c r="F11" s="10">
        <f>SUMIF(tbl_InventorySupplier[stock_health_status], B11, tbl_InventorySupplier[supplier_stock])</f>
        <v>101843</v>
      </c>
      <c r="G11" t="s">
        <v>31</v>
      </c>
      <c r="J11" s="29"/>
      <c r="K11" s="29"/>
      <c r="L11" s="29"/>
      <c r="M11" s="29"/>
      <c r="N11" s="29"/>
    </row>
    <row r="12" spans="2:14" ht="12.75" customHeight="1">
      <c r="B12" t="s">
        <v>73</v>
      </c>
      <c r="C12" s="4">
        <f>COUNTIF(tbl_InventorySupplier[stock_health_status], B12)</f>
        <v>70</v>
      </c>
      <c r="D12" s="10">
        <f>SUMIF(tbl_InventorySupplier[stock_health_status], B12, tbl_InventorySupplier[internal_stock])</f>
        <v>533</v>
      </c>
      <c r="E12" s="5" cm="1">
        <f t="array" ref="E12">SUMPRODUCT((tbl_InventorySupplier[stock_health_status]=B12)*(tbl_InventorySupplier[internal_stock])*(tbl_InventorySupplier[current_supplier_cost]))</f>
        <v>19337.279999999995</v>
      </c>
      <c r="F12" s="10">
        <f>SUMIF(tbl_InventorySupplier[stock_health_status], B12, tbl_InventorySupplier[supplier_stock])</f>
        <v>17373</v>
      </c>
      <c r="G12" t="s">
        <v>31</v>
      </c>
      <c r="J12" s="29"/>
      <c r="K12" s="29"/>
      <c r="L12" s="29"/>
      <c r="M12" s="29"/>
      <c r="N12" s="29"/>
    </row>
    <row r="13" spans="2:14">
      <c r="B13" t="s">
        <v>19</v>
      </c>
      <c r="C13" s="4">
        <f>COUNTIF(tbl_InventorySupplier[stock_health_status], B13)</f>
        <v>12</v>
      </c>
      <c r="D13" s="10">
        <f>SUMIF(tbl_InventorySupplier[stock_health_status], B13, tbl_InventorySupplier[internal_stock])</f>
        <v>0</v>
      </c>
      <c r="E13" s="5" cm="1">
        <f t="array" ref="E13">SUMPRODUCT((tbl_InventorySupplier[stock_health_status]=B13)*(tbl_InventorySupplier[internal_stock])*(tbl_InventorySupplier[current_supplier_cost]))</f>
        <v>0</v>
      </c>
      <c r="F13" s="10">
        <f>SUMIF(tbl_InventorySupplier[stock_health_status], B13, tbl_InventorySupplier[supplier_stock])</f>
        <v>2148</v>
      </c>
      <c r="G13" t="s">
        <v>20</v>
      </c>
      <c r="J13" s="29"/>
      <c r="K13" s="29"/>
      <c r="L13" s="29"/>
      <c r="M13" s="29"/>
      <c r="N13" s="29"/>
    </row>
    <row r="14" spans="2:14">
      <c r="B14" t="s">
        <v>1040</v>
      </c>
      <c r="C14">
        <f>SUBTOTAL(109,C11:C13)</f>
        <v>505</v>
      </c>
      <c r="D14" s="10">
        <f>SUBTOTAL(109,D11:D13)</f>
        <v>25438</v>
      </c>
      <c r="E14" s="14">
        <f>SUBTOTAL(109,E11:E13)</f>
        <v>985340.86000000045</v>
      </c>
      <c r="F14" s="10">
        <f>SUBTOTAL(109,F11:F13)</f>
        <v>121364</v>
      </c>
      <c r="J14" s="29"/>
      <c r="K14" s="29"/>
      <c r="L14" s="29"/>
      <c r="M14" s="29"/>
      <c r="N14" s="29"/>
    </row>
    <row r="15" spans="2:14">
      <c r="J15" s="29"/>
      <c r="K15" s="29"/>
      <c r="L15" s="29"/>
      <c r="M15" s="29"/>
      <c r="N15" s="29"/>
    </row>
    <row r="16" spans="2:14" ht="18.75">
      <c r="B16" s="25" t="s">
        <v>1046</v>
      </c>
      <c r="J16" s="29"/>
      <c r="K16" s="29"/>
      <c r="L16" s="29"/>
      <c r="M16" s="29"/>
      <c r="N16" s="29"/>
    </row>
    <row r="17" spans="2:14">
      <c r="B17" s="6" t="s">
        <v>1047</v>
      </c>
      <c r="C17" s="6" t="s">
        <v>1034</v>
      </c>
      <c r="D17" s="7" t="s">
        <v>1044</v>
      </c>
      <c r="E17" s="8" t="s">
        <v>1048</v>
      </c>
      <c r="F17" s="9" t="s">
        <v>1049</v>
      </c>
      <c r="G17" t="s">
        <v>1050</v>
      </c>
      <c r="H17" t="s">
        <v>1051</v>
      </c>
      <c r="J17" s="29"/>
      <c r="K17" s="29"/>
      <c r="L17" s="29"/>
      <c r="M17" s="29"/>
      <c r="N17" s="29"/>
    </row>
    <row r="18" spans="2:14">
      <c r="B18" t="s">
        <v>27</v>
      </c>
      <c r="C18">
        <f>COUNTIF(tbl_InventorySupplier[category], B18)</f>
        <v>58</v>
      </c>
      <c r="D18" s="1" cm="1">
        <f t="array" ref="D18">SUMPRODUCT((tbl_InventorySupplier[category]=B18)*(tbl_InventorySupplier[internal_stock])*(tbl_InventorySupplier[current_supplier_cost]))</f>
        <v>37003.289999999994</v>
      </c>
      <c r="E18" s="2">
        <f>D18 / $D$28</f>
        <v>3.7553796358348511E-2</v>
      </c>
      <c r="F18" s="2" cm="1">
        <f t="array" ref="F18" xml:space="preserve"> 1 - (D18 / SUMPRODUCT((tbl_InventorySupplier[category]=B18) * tbl_InventorySupplier[internal_stock] * tbl_InventorySupplier[retail_price]))</f>
        <v>0.46258696058512982</v>
      </c>
      <c r="G18" s="4" cm="1">
        <f t="array" ref="G18">SUMPRODUCT((tbl_InventorySupplier[category]=B18) * (tbl_InventorySupplier[internal_stock] &lt;= tbl_InventorySupplier[reorder_point]))</f>
        <v>9</v>
      </c>
      <c r="H18" s="14">
        <f>AVERAGEIFS(tbl_InventorySupplier[retail_price], tbl_InventorySupplier[category], B18, tbl_InventorySupplier[retail_price], "&gt;0")</f>
        <v>25.725087719298237</v>
      </c>
      <c r="J18" s="29"/>
      <c r="K18" s="29"/>
      <c r="L18" s="29"/>
      <c r="M18" s="29"/>
      <c r="N18" s="29"/>
    </row>
    <row r="19" spans="2:14">
      <c r="B19" t="s">
        <v>34</v>
      </c>
      <c r="C19">
        <f>COUNTIF(tbl_InventorySupplier[category], B19)</f>
        <v>68</v>
      </c>
      <c r="D19" s="1" cm="1">
        <f t="array" ref="D19">SUMPRODUCT((tbl_InventorySupplier[category]=B19)*(tbl_InventorySupplier[internal_stock])*(tbl_InventorySupplier[current_supplier_cost]))</f>
        <v>358841.80000000016</v>
      </c>
      <c r="E19" s="2">
        <f t="shared" ref="E18:E27" si="2">D19 / $D$28</f>
        <v>0.36418037104439183</v>
      </c>
      <c r="F19" s="2" cm="1">
        <f t="array" ref="F19" xml:space="preserve"> 1 - (D19 / SUMPRODUCT((tbl_InventorySupplier[category]=B19) * tbl_InventorySupplier[internal_stock] * tbl_InventorySupplier[retail_price]))</f>
        <v>0.56151858826702972</v>
      </c>
      <c r="G19" s="4" cm="1">
        <f t="array" ref="G19">SUMPRODUCT((tbl_InventorySupplier[category]=B19) * (tbl_InventorySupplier[internal_stock] &lt;= tbl_InventorySupplier[reorder_point]))</f>
        <v>14</v>
      </c>
      <c r="H19" s="14">
        <f>AVERAGEIFS(tbl_InventorySupplier[retail_price], tbl_InventorySupplier[category], B19, tbl_InventorySupplier[retail_price], "&gt;0")</f>
        <v>250.97000000000003</v>
      </c>
      <c r="J19" s="29"/>
      <c r="K19" s="29"/>
      <c r="L19" s="29"/>
      <c r="M19" s="29"/>
      <c r="N19" s="29"/>
    </row>
    <row r="20" spans="2:14">
      <c r="B20" t="s">
        <v>39</v>
      </c>
      <c r="C20">
        <f>COUNTIF(tbl_InventorySupplier[category], B20)</f>
        <v>61</v>
      </c>
      <c r="D20" s="1" cm="1">
        <f t="array" ref="D20">SUMPRODUCT((tbl_InventorySupplier[category]=B20)*(tbl_InventorySupplier[internal_stock])*(tbl_InventorySupplier[current_supplier_cost]))</f>
        <v>69226.829999999987</v>
      </c>
      <c r="E20" s="2">
        <f t="shared" si="2"/>
        <v>7.0256733289229462E-2</v>
      </c>
      <c r="F20" s="2" cm="1">
        <f t="array" ref="F20" xml:space="preserve"> 1 - (D20 / SUMPRODUCT((tbl_InventorySupplier[category]=B20) * tbl_InventorySupplier[internal_stock] * tbl_InventorySupplier[retail_price]))</f>
        <v>0.42049157924740821</v>
      </c>
      <c r="G20" s="4" cm="1">
        <f t="array" ref="G20">SUMPRODUCT((tbl_InventorySupplier[category]=B20) * (tbl_InventorySupplier[internal_stock] &lt;= tbl_InventorySupplier[reorder_point]))</f>
        <v>7</v>
      </c>
      <c r="H20" s="14">
        <f>AVERAGEIFS(tbl_InventorySupplier[retail_price], tbl_InventorySupplier[category], B20, tbl_InventorySupplier[retail_price], "&gt;0")</f>
        <v>39.797966101694904</v>
      </c>
      <c r="J20" s="29"/>
      <c r="K20" s="29"/>
      <c r="L20" s="29"/>
      <c r="M20" s="29"/>
      <c r="N20" s="29"/>
    </row>
    <row r="21" spans="2:14">
      <c r="B21" t="s">
        <v>64</v>
      </c>
      <c r="C21">
        <f>COUNTIF(tbl_InventorySupplier[category], B21)</f>
        <v>72</v>
      </c>
      <c r="D21" s="1" cm="1">
        <f t="array" ref="D21">SUMPRODUCT((tbl_InventorySupplier[category]=B21)*(tbl_InventorySupplier[internal_stock])*(tbl_InventorySupplier[current_supplier_cost]))</f>
        <v>94309.85000000002</v>
      </c>
      <c r="E21" s="2">
        <f t="shared" si="2"/>
        <v>9.5712919080611358E-2</v>
      </c>
      <c r="F21" s="2" cm="1">
        <f t="array" ref="F21" xml:space="preserve"> 1 - (D21 / SUMPRODUCT((tbl_InventorySupplier[category]=B21) * tbl_InventorySupplier[internal_stock] * tbl_InventorySupplier[retail_price]))</f>
        <v>0.461614742748371</v>
      </c>
      <c r="G21" s="4" cm="1">
        <f t="array" ref="G21">SUMPRODUCT((tbl_InventorySupplier[category]=B21) * (tbl_InventorySupplier[internal_stock] &lt;= tbl_InventorySupplier[reorder_point]))</f>
        <v>9</v>
      </c>
      <c r="H21" s="14">
        <f>AVERAGEIFS(tbl_InventorySupplier[retail_price], tbl_InventorySupplier[category], B21, tbl_InventorySupplier[retail_price], "&gt;0")</f>
        <v>48.430714285714295</v>
      </c>
      <c r="J21" s="29"/>
      <c r="K21" s="29"/>
      <c r="L21" s="29"/>
      <c r="M21" s="29"/>
      <c r="N21" s="29"/>
    </row>
    <row r="22" spans="2:14">
      <c r="B22" t="s">
        <v>78</v>
      </c>
      <c r="C22">
        <f>COUNTIF(tbl_InventorySupplier[category], B22)</f>
        <v>66</v>
      </c>
      <c r="D22" s="1" cm="1">
        <f t="array" ref="D22">SUMPRODUCT((tbl_InventorySupplier[category]=B22)*(tbl_InventorySupplier[internal_stock])*(tbl_InventorySupplier[current_supplier_cost]))</f>
        <v>122334.87999999999</v>
      </c>
      <c r="E22" s="2">
        <f t="shared" si="2"/>
        <v>0.12415488382365467</v>
      </c>
      <c r="F22" s="2" cm="1">
        <f t="array" ref="F22" xml:space="preserve"> 1 - (D22 / SUMPRODUCT((tbl_InventorySupplier[category]=B22) * tbl_InventorySupplier[internal_stock] * tbl_InventorySupplier[retail_price]))</f>
        <v>0.43767418856032325</v>
      </c>
      <c r="G22" s="4" cm="1">
        <f t="array" ref="G22">SUMPRODUCT((tbl_InventorySupplier[category]=B22) * (tbl_InventorySupplier[internal_stock] &lt;= tbl_InventorySupplier[reorder_point]))</f>
        <v>12</v>
      </c>
      <c r="H22" s="14">
        <f>AVERAGEIFS(tbl_InventorySupplier[retail_price], tbl_InventorySupplier[category], B22, tbl_InventorySupplier[retail_price], "&gt;0")</f>
        <v>58.985606060606074</v>
      </c>
      <c r="J22" s="29"/>
      <c r="K22" s="29"/>
      <c r="L22" s="29"/>
      <c r="M22" s="29"/>
      <c r="N22" s="29"/>
    </row>
    <row r="23" spans="2:14" ht="16.5" customHeight="1">
      <c r="B23" t="s">
        <v>85</v>
      </c>
      <c r="C23">
        <f>COUNTIF(tbl_InventorySupplier[category], B23)</f>
        <v>46</v>
      </c>
      <c r="D23" s="1" cm="1">
        <f t="array" ref="D23">SUMPRODUCT((tbl_InventorySupplier[category]=B23)*(tbl_InventorySupplier[internal_stock])*(tbl_InventorySupplier[current_supplier_cost]))</f>
        <v>69474.600000000006</v>
      </c>
      <c r="E23" s="2">
        <f t="shared" si="2"/>
        <v>7.0508189419852124E-2</v>
      </c>
      <c r="F23" s="2" cm="1">
        <f t="array" ref="F23" xml:space="preserve"> 1 - (D23 / SUMPRODUCT((tbl_InventorySupplier[category]=B23) * tbl_InventorySupplier[internal_stock] * tbl_InventorySupplier[retail_price]))</f>
        <v>0.49408489169676917</v>
      </c>
      <c r="G23" s="4" cm="1">
        <f t="array" ref="G23">SUMPRODUCT((tbl_InventorySupplier[category]=B23) * (tbl_InventorySupplier[internal_stock] &lt;= tbl_InventorySupplier[reorder_point]))</f>
        <v>6</v>
      </c>
      <c r="H23" s="14">
        <f>AVERAGEIFS(tbl_InventorySupplier[retail_price], tbl_InventorySupplier[category], B23, tbl_InventorySupplier[retail_price], "&gt;0")</f>
        <v>53.639111111111113</v>
      </c>
      <c r="J23" s="29"/>
      <c r="K23" s="29"/>
      <c r="L23" s="29"/>
      <c r="M23" s="29"/>
      <c r="N23" s="29"/>
    </row>
    <row r="24" spans="2:14">
      <c r="B24" t="s">
        <v>122</v>
      </c>
      <c r="C24">
        <f>COUNTIF(tbl_InventorySupplier[category], B24)</f>
        <v>73</v>
      </c>
      <c r="D24" s="1" cm="1">
        <f t="array" ref="D24">SUMPRODUCT((tbl_InventorySupplier[category]=B24)*(tbl_InventorySupplier[internal_stock])*(tbl_InventorySupplier[current_supplier_cost]))</f>
        <v>114336.84999999996</v>
      </c>
      <c r="E24" s="2">
        <f t="shared" si="2"/>
        <v>0.11603786531292323</v>
      </c>
      <c r="F24" s="2" cm="1">
        <f t="array" ref="F24" xml:space="preserve"> 1 - (D24 / SUMPRODUCT((tbl_InventorySupplier[category]=B24) * tbl_InventorySupplier[internal_stock] * tbl_InventorySupplier[retail_price]))</f>
        <v>0.48378074696554829</v>
      </c>
      <c r="G24" s="4" cm="1">
        <f t="array" ref="G24">SUMPRODUCT((tbl_InventorySupplier[category]=B24) * (tbl_InventorySupplier[internal_stock] &lt;= tbl_InventorySupplier[reorder_point]))</f>
        <v>12</v>
      </c>
      <c r="H24" s="14">
        <f>AVERAGEIFS(tbl_InventorySupplier[retail_price], tbl_InventorySupplier[category], B24, tbl_InventorySupplier[retail_price], "&gt;0")</f>
        <v>60.321506849315107</v>
      </c>
      <c r="J24" s="29"/>
      <c r="K24" s="29"/>
      <c r="L24" s="29"/>
      <c r="M24" s="29"/>
      <c r="N24" s="29"/>
    </row>
    <row r="25" spans="2:14">
      <c r="B25" t="s">
        <v>281</v>
      </c>
      <c r="C25">
        <f>COUNTIF(tbl_InventorySupplier[category], B25)</f>
        <v>51</v>
      </c>
      <c r="D25" s="1" cm="1">
        <f t="array" ref="D25">SUMPRODUCT((tbl_InventorySupplier[category]=B25)*(tbl_InventorySupplier[internal_stock])*(tbl_InventorySupplier[current_supplier_cost]))</f>
        <v>113315.17000000001</v>
      </c>
      <c r="E25" s="2">
        <f t="shared" si="2"/>
        <v>0.11500098554727549</v>
      </c>
      <c r="F25" s="2" cm="1">
        <f t="array" ref="F25" xml:space="preserve"> 1 - (D25 / SUMPRODUCT((tbl_InventorySupplier[category]=B25) * tbl_InventorySupplier[internal_stock] * tbl_InventorySupplier[retail_price]))</f>
        <v>0.4381088890430479</v>
      </c>
      <c r="G25" s="4" cm="1">
        <f t="array" ref="G25">SUMPRODUCT((tbl_InventorySupplier[category]=B25) * (tbl_InventorySupplier[internal_stock] &lt;= tbl_InventorySupplier[reorder_point]))</f>
        <v>8</v>
      </c>
      <c r="H25" s="14">
        <f>AVERAGEIFS(tbl_InventorySupplier[retail_price], tbl_InventorySupplier[category], B25, tbl_InventorySupplier[retail_price], "&gt;0")</f>
        <v>74.756530612244887</v>
      </c>
      <c r="J25" s="29"/>
      <c r="K25" s="29"/>
      <c r="L25" s="29"/>
      <c r="M25" s="29"/>
      <c r="N25" s="29"/>
    </row>
    <row r="26" spans="2:14">
      <c r="B26" t="s">
        <v>144</v>
      </c>
      <c r="C26">
        <f>COUNTIF(tbl_InventorySupplier[category], B26)</f>
        <v>5</v>
      </c>
      <c r="D26" s="1" cm="1">
        <f t="array" ref="D26">SUMPRODUCT((tbl_InventorySupplier[category]=B26)*(tbl_InventorySupplier[internal_stock])*(tbl_InventorySupplier[current_supplier_cost]))</f>
        <v>6497.59</v>
      </c>
      <c r="E26" s="2">
        <f t="shared" si="2"/>
        <v>6.5942561237133709E-3</v>
      </c>
      <c r="F26" s="2" cm="1">
        <f t="array" ref="F26" xml:space="preserve"> 1 - (D26 / SUMPRODUCT((tbl_InventorySupplier[category]=B26) * tbl_InventorySupplier[internal_stock] * tbl_InventorySupplier[retail_price]))</f>
        <v>0.5017491258205018</v>
      </c>
      <c r="G26" s="4" cm="1">
        <f t="array" ref="G26">SUMPRODUCT((tbl_InventorySupplier[category]=B26) * (tbl_InventorySupplier[internal_stock] &lt;= tbl_InventorySupplier[reorder_point]))</f>
        <v>0</v>
      </c>
      <c r="H26" s="14">
        <f>AVERAGEIFS(tbl_InventorySupplier[retail_price], tbl_InventorySupplier[category], B26, tbl_InventorySupplier[retail_price], "&gt;0")</f>
        <v>45.571999999999996</v>
      </c>
      <c r="J26" s="29"/>
      <c r="K26" s="29"/>
      <c r="L26" s="29"/>
      <c r="M26" s="29"/>
      <c r="N26" s="29"/>
    </row>
    <row r="27" spans="2:14">
      <c r="B27" t="s">
        <v>1052</v>
      </c>
      <c r="C27">
        <f>COUNTBLANK(tbl_InventorySupplier[category])</f>
        <v>5</v>
      </c>
      <c r="D27" s="1" cm="1">
        <f t="array" ref="D27">SUMPRODUCT((tbl_InventorySupplier[category]="")*(tbl_InventorySupplier[internal_stock])*(tbl_InventorySupplier[current_supplier_cost]))</f>
        <v>0</v>
      </c>
      <c r="E27" s="2">
        <f t="shared" si="2"/>
        <v>0</v>
      </c>
      <c r="F27" s="1" t="e" cm="1">
        <f t="array" ref="F27" xml:space="preserve"> 1 - (D27 / SUMPRODUCT((tbl_InventorySupplier[category]="") * tbl_InventorySupplier[internal_stock] * tbl_InventorySupplier[retail_price]))</f>
        <v>#DIV/0!</v>
      </c>
      <c r="G27" s="4" cm="1">
        <f t="array" ref="G27">SUMPRODUCT((tbl_InventorySupplier[category]="") * (tbl_InventorySupplier[internal_stock] &lt;= tbl_InventorySupplier[reorder_point]))</f>
        <v>5</v>
      </c>
      <c r="H27" s="14" t="e">
        <f>AVERAGEIFS(tbl_InventorySupplier[retail_price], tbl_InventorySupplier[category], "", tbl_InventorySupplier[retail_price], "&gt;0")</f>
        <v>#DIV/0!</v>
      </c>
      <c r="J27" s="29"/>
      <c r="K27" s="29"/>
      <c r="L27" s="29"/>
      <c r="M27" s="29"/>
      <c r="N27" s="29"/>
    </row>
    <row r="28" spans="2:14">
      <c r="B28" t="s">
        <v>1040</v>
      </c>
      <c r="C28">
        <f>SUBTOTAL(109,C18:C27)</f>
        <v>505</v>
      </c>
      <c r="D28" s="14">
        <f>SUBTOTAL(109,D18:D27)</f>
        <v>985340.8600000001</v>
      </c>
      <c r="E28"/>
      <c r="F28" s="2"/>
      <c r="G28" s="4">
        <f>SUBTOTAL(109,G18:G27)</f>
        <v>82</v>
      </c>
      <c r="H28" s="14"/>
      <c r="J28" s="29"/>
      <c r="K28" s="29"/>
      <c r="L28" s="29"/>
      <c r="M28" s="29"/>
      <c r="N28" s="29"/>
    </row>
    <row r="29" spans="2:14">
      <c r="C29" s="3"/>
      <c r="E29" s="2"/>
      <c r="F29" s="4"/>
      <c r="J29" s="29"/>
      <c r="K29" s="29"/>
      <c r="L29" s="29"/>
      <c r="M29" s="29"/>
      <c r="N29" s="29"/>
    </row>
    <row r="30" spans="2:14" ht="18.75">
      <c r="B30" s="25" t="s">
        <v>1053</v>
      </c>
      <c r="C30" s="3"/>
      <c r="E30" s="2"/>
      <c r="F30" s="4"/>
      <c r="J30" s="29"/>
      <c r="K30" s="29"/>
      <c r="L30" s="29"/>
      <c r="M30" s="29"/>
      <c r="N30" s="29"/>
    </row>
    <row r="31" spans="2:14">
      <c r="B31" t="s">
        <v>1047</v>
      </c>
      <c r="C31" t="s">
        <v>1043</v>
      </c>
      <c r="D31" t="s">
        <v>1035</v>
      </c>
      <c r="E31" t="s">
        <v>1054</v>
      </c>
      <c r="F31" t="s">
        <v>1055</v>
      </c>
      <c r="J31" s="29"/>
      <c r="K31" s="29"/>
      <c r="L31" s="29"/>
      <c r="M31" s="29"/>
      <c r="N31" s="29"/>
    </row>
    <row r="32" spans="2:14">
      <c r="B32" s="20" t="s">
        <v>27</v>
      </c>
      <c r="C32" s="10">
        <f>SUMIFS(tbl_InventorySupplier[internal_stock], tbl_InventorySupplier[category], B32)</f>
        <v>2906</v>
      </c>
      <c r="D32" s="10">
        <f>SUMIFS(tbl_InventorySupplier[supplier_stock], tbl_InventorySupplier[category], B32)</f>
        <v>13656</v>
      </c>
      <c r="E32" s="22">
        <f t="shared" ref="E32:E40" si="3">IF(C32=0, "N/A", D32 / C32)</f>
        <v>4.6992429456297318</v>
      </c>
      <c r="F32" s="4" t="str">
        <f t="shared" ref="F32:F41" si="4">IF(E32 ="N/A", "N/A", IF(E32&gt;=5, "Maximum Leverage", IF(E32&gt;=4.5, "High Potential", "Moderate Leverage")))</f>
        <v>High Potential</v>
      </c>
      <c r="J32" s="29"/>
      <c r="K32" s="29"/>
      <c r="L32" s="29"/>
      <c r="M32" s="29"/>
      <c r="N32" s="29"/>
    </row>
    <row r="33" spans="2:14">
      <c r="B33" s="21" t="s">
        <v>34</v>
      </c>
      <c r="C33" s="10">
        <f>SUMIFS(tbl_InventorySupplier[internal_stock], tbl_InventorySupplier[category], B33)</f>
        <v>3165</v>
      </c>
      <c r="D33" s="10">
        <f>SUMIFS(tbl_InventorySupplier[supplier_stock], tbl_InventorySupplier[category], B33)</f>
        <v>15563</v>
      </c>
      <c r="E33" s="22">
        <f t="shared" si="3"/>
        <v>4.9172195892575044</v>
      </c>
      <c r="F33" s="4" t="str">
        <f t="shared" si="4"/>
        <v>High Potential</v>
      </c>
      <c r="J33" s="29"/>
      <c r="K33" s="29"/>
      <c r="L33" s="29"/>
      <c r="M33" s="29"/>
      <c r="N33" s="29"/>
    </row>
    <row r="34" spans="2:14">
      <c r="B34" s="20" t="s">
        <v>39</v>
      </c>
      <c r="C34" s="10">
        <f>SUMIFS(tbl_InventorySupplier[internal_stock], tbl_InventorySupplier[category], B34)</f>
        <v>3082</v>
      </c>
      <c r="D34" s="10">
        <f>SUMIFS(tbl_InventorySupplier[supplier_stock], tbl_InventorySupplier[category], B34)</f>
        <v>16187</v>
      </c>
      <c r="E34" s="22">
        <f t="shared" si="3"/>
        <v>5.2521090201168077</v>
      </c>
      <c r="F34" s="4" t="str">
        <f t="shared" si="4"/>
        <v>Maximum Leverage</v>
      </c>
      <c r="J34" s="29"/>
      <c r="K34" s="29"/>
      <c r="L34" s="29"/>
      <c r="M34" s="29"/>
      <c r="N34" s="29"/>
    </row>
    <row r="35" spans="2:14">
      <c r="B35" s="21" t="s">
        <v>64</v>
      </c>
      <c r="C35" s="10">
        <f>SUMIFS(tbl_InventorySupplier[internal_stock], tbl_InventorySupplier[category], B35)</f>
        <v>3901</v>
      </c>
      <c r="D35" s="10">
        <f>SUMIFS(tbl_InventorySupplier[supplier_stock], tbl_InventorySupplier[category], B35)</f>
        <v>17695</v>
      </c>
      <c r="E35" s="22">
        <f t="shared" si="3"/>
        <v>4.5360164060497308</v>
      </c>
      <c r="F35" s="4" t="str">
        <f t="shared" si="4"/>
        <v>High Potential</v>
      </c>
      <c r="J35" s="29"/>
      <c r="K35" s="29"/>
      <c r="L35" s="29"/>
      <c r="M35" s="29"/>
      <c r="N35" s="29"/>
    </row>
    <row r="36" spans="2:14">
      <c r="B36" s="20" t="s">
        <v>78</v>
      </c>
      <c r="C36" s="10">
        <f>SUMIFS(tbl_InventorySupplier[internal_stock], tbl_InventorySupplier[category], B36)</f>
        <v>3435</v>
      </c>
      <c r="D36" s="10">
        <f>SUMIFS(tbl_InventorySupplier[supplier_stock], tbl_InventorySupplier[category], B36)</f>
        <v>14551</v>
      </c>
      <c r="E36" s="22">
        <f t="shared" si="3"/>
        <v>4.2360989810771468</v>
      </c>
      <c r="F36" s="4" t="str">
        <f t="shared" si="4"/>
        <v>Moderate Leverage</v>
      </c>
      <c r="J36" s="29"/>
      <c r="K36" s="29"/>
      <c r="L36" s="29"/>
      <c r="M36" s="29"/>
      <c r="N36" s="29"/>
    </row>
    <row r="37" spans="2:14">
      <c r="B37" s="21" t="s">
        <v>85</v>
      </c>
      <c r="C37" s="10">
        <f>SUMIFS(tbl_InventorySupplier[internal_stock], tbl_InventorySupplier[category], B37)</f>
        <v>2621</v>
      </c>
      <c r="D37" s="10">
        <f>SUMIFS(tbl_InventorySupplier[supplier_stock], tbl_InventorySupplier[category], B37)</f>
        <v>11837</v>
      </c>
      <c r="E37" s="22">
        <f t="shared" si="3"/>
        <v>4.5162151850438761</v>
      </c>
      <c r="F37" s="4" t="str">
        <f t="shared" si="4"/>
        <v>High Potential</v>
      </c>
      <c r="J37" s="29"/>
      <c r="K37" s="29"/>
      <c r="L37" s="29"/>
      <c r="M37" s="29"/>
      <c r="N37" s="29"/>
    </row>
    <row r="38" spans="2:14">
      <c r="B38" s="20" t="s">
        <v>122</v>
      </c>
      <c r="C38" s="10">
        <f>SUMIFS(tbl_InventorySupplier[internal_stock], tbl_InventorySupplier[category], B38)</f>
        <v>3492</v>
      </c>
      <c r="D38" s="10">
        <f>SUMIFS(tbl_InventorySupplier[supplier_stock], tbl_InventorySupplier[category], B38)</f>
        <v>17086</v>
      </c>
      <c r="E38" s="22">
        <f t="shared" si="3"/>
        <v>4.8928980526918675</v>
      </c>
      <c r="F38" s="4" t="str">
        <f t="shared" si="4"/>
        <v>High Potential</v>
      </c>
      <c r="J38" s="29"/>
      <c r="K38" s="29"/>
      <c r="L38" s="29"/>
      <c r="M38" s="29"/>
      <c r="N38" s="29"/>
    </row>
    <row r="39" spans="2:14">
      <c r="B39" s="21" t="s">
        <v>281</v>
      </c>
      <c r="C39" s="10">
        <f>SUMIFS(tbl_InventorySupplier[internal_stock], tbl_InventorySupplier[category], B39)</f>
        <v>2495</v>
      </c>
      <c r="D39" s="10">
        <f>SUMIFS(tbl_InventorySupplier[supplier_stock], tbl_InventorySupplier[category], B39)</f>
        <v>12766</v>
      </c>
      <c r="E39" s="22">
        <f t="shared" si="3"/>
        <v>5.116633266533066</v>
      </c>
      <c r="F39" s="4" t="str">
        <f t="shared" si="4"/>
        <v>Maximum Leverage</v>
      </c>
      <c r="J39" s="29"/>
      <c r="K39" s="29"/>
      <c r="L39" s="29"/>
      <c r="M39" s="29"/>
      <c r="N39" s="29"/>
    </row>
    <row r="40" spans="2:14">
      <c r="B40" s="20" t="s">
        <v>144</v>
      </c>
      <c r="C40" s="10">
        <f>SUMIFS(tbl_InventorySupplier[internal_stock], tbl_InventorySupplier[category], B40)</f>
        <v>341</v>
      </c>
      <c r="D40" s="10">
        <f>SUMIFS(tbl_InventorySupplier[supplier_stock], tbl_InventorySupplier[category], B40)</f>
        <v>1443</v>
      </c>
      <c r="E40" s="22">
        <f t="shared" si="3"/>
        <v>4.2316715542521992</v>
      </c>
      <c r="F40" s="4" t="str">
        <f t="shared" si="4"/>
        <v>Moderate Leverage</v>
      </c>
      <c r="J40" s="29"/>
      <c r="K40" s="29"/>
      <c r="L40" s="29"/>
      <c r="M40" s="29"/>
      <c r="N40" s="29"/>
    </row>
    <row r="41" spans="2:14">
      <c r="B41" s="21" t="s">
        <v>1052</v>
      </c>
      <c r="C41" s="10">
        <f>SUMIFS(tbl_InventorySupplier[internal_stock], tbl_InventorySupplier[category], "")</f>
        <v>0</v>
      </c>
      <c r="D41" s="10">
        <f>SUMIFS(tbl_InventorySupplier[supplier_stock], tbl_InventorySupplier[category], "")</f>
        <v>580</v>
      </c>
      <c r="E41" s="22" t="str">
        <f>IF(C41=0, "N/A", D41 / C41)</f>
        <v>N/A</v>
      </c>
      <c r="F41" s="4" t="str">
        <f t="shared" si="4"/>
        <v>N/A</v>
      </c>
      <c r="J41" s="29"/>
      <c r="K41" s="29"/>
      <c r="L41" s="29"/>
      <c r="M41" s="29"/>
      <c r="N41" s="29"/>
    </row>
    <row r="42" spans="2:14">
      <c r="B42" s="21" t="s">
        <v>1040</v>
      </c>
      <c r="D42"/>
      <c r="E42"/>
      <c r="F42"/>
      <c r="J42" s="29"/>
      <c r="K42" s="29"/>
      <c r="L42" s="29"/>
      <c r="M42" s="29"/>
      <c r="N42" s="29"/>
    </row>
    <row r="43" spans="2:14">
      <c r="C43" s="3"/>
      <c r="E43" s="2"/>
      <c r="F43" s="4"/>
      <c r="J43" s="29"/>
      <c r="K43" s="29"/>
      <c r="L43" s="29"/>
      <c r="M43" s="29"/>
      <c r="N43" s="29"/>
    </row>
    <row r="44" spans="2:14" ht="18.75">
      <c r="B44" s="25" t="s">
        <v>1056</v>
      </c>
      <c r="C44" s="3"/>
      <c r="E44" s="2"/>
      <c r="F44" s="4"/>
      <c r="J44" s="29"/>
      <c r="K44" s="29"/>
      <c r="L44" s="29"/>
      <c r="M44" s="29"/>
      <c r="N44" s="29"/>
    </row>
    <row r="45" spans="2:14">
      <c r="B45" t="s">
        <v>1047</v>
      </c>
      <c r="C45" t="s">
        <v>1057</v>
      </c>
      <c r="D45" t="s">
        <v>1051</v>
      </c>
      <c r="E45" t="s">
        <v>1058</v>
      </c>
      <c r="F45" t="s">
        <v>1059</v>
      </c>
    </row>
    <row r="46" spans="2:14">
      <c r="B46" s="20" t="s">
        <v>27</v>
      </c>
      <c r="C46" s="1">
        <f>_xlfn.MINIFS(tbl_InventorySupplier[retail_price], tbl_InventorySupplier[category], B46, tbl_InventorySupplier[retail_price], "&gt;0")</f>
        <v>10.6</v>
      </c>
      <c r="D46" s="14">
        <f>AVERAGEIFS(tbl_InventorySupplier[retail_price], tbl_InventorySupplier[category], B46, tbl_InventorySupplier[retail_price], "&gt;0")</f>
        <v>25.725087719298237</v>
      </c>
      <c r="E46" s="14">
        <f>_xlfn.MAXIFS(tbl_InventorySupplier[retail_price], tbl_InventorySupplier[category], B46)</f>
        <v>88.74</v>
      </c>
      <c r="F46" s="14" t="str">
        <f t="shared" ref="F46:F54" si="5">IF(D46&gt;=70, "High Ticket", IF(D46&gt;=45, "Medium Ticket", "Low Ticket"))</f>
        <v>Low Ticket</v>
      </c>
      <c r="G46" s="3"/>
      <c r="H46" s="3"/>
    </row>
    <row r="47" spans="2:14">
      <c r="B47" s="21" t="s">
        <v>34</v>
      </c>
      <c r="C47" s="1">
        <f>_xlfn.MINIFS(tbl_InventorySupplier[retail_price], tbl_InventorySupplier[category], B47, tbl_InventorySupplier[retail_price], "&gt;0")</f>
        <v>15.81</v>
      </c>
      <c r="D47" s="14">
        <f>AVERAGEIFS(tbl_InventorySupplier[retail_price], tbl_InventorySupplier[category], B47, tbl_InventorySupplier[retail_price], "&gt;0")</f>
        <v>250.97000000000003</v>
      </c>
      <c r="E47" s="14">
        <f>_xlfn.MAXIFS(tbl_InventorySupplier[retail_price], tbl_InventorySupplier[category], B47)</f>
        <v>957.94</v>
      </c>
      <c r="F47" s="14" t="str">
        <f t="shared" si="5"/>
        <v>High Ticket</v>
      </c>
      <c r="G47" s="3"/>
      <c r="H47" s="3"/>
    </row>
    <row r="48" spans="2:14">
      <c r="B48" s="20" t="s">
        <v>39</v>
      </c>
      <c r="C48" s="1">
        <f>_xlfn.MINIFS(tbl_InventorySupplier[retail_price], tbl_InventorySupplier[category], B48, tbl_InventorySupplier[retail_price], "&gt;0")</f>
        <v>14.01</v>
      </c>
      <c r="D48" s="14">
        <f>AVERAGEIFS(tbl_InventorySupplier[retail_price], tbl_InventorySupplier[category], B48, tbl_InventorySupplier[retail_price], "&gt;0")</f>
        <v>39.797966101694904</v>
      </c>
      <c r="E48" s="14">
        <f>_xlfn.MAXIFS(tbl_InventorySupplier[retail_price], tbl_InventorySupplier[category], B48)</f>
        <v>145.51</v>
      </c>
      <c r="F48" s="14" t="str">
        <f t="shared" si="5"/>
        <v>Low Ticket</v>
      </c>
      <c r="G48" s="3"/>
      <c r="H48" s="3"/>
    </row>
    <row r="49" spans="2:8">
      <c r="B49" s="21" t="s">
        <v>64</v>
      </c>
      <c r="C49" s="1">
        <f>_xlfn.MINIFS(tbl_InventorySupplier[retail_price], tbl_InventorySupplier[category], B49, tbl_InventorySupplier[retail_price], "&gt;0")</f>
        <v>12.79</v>
      </c>
      <c r="D49" s="14">
        <f>AVERAGEIFS(tbl_InventorySupplier[retail_price], tbl_InventorySupplier[category], B49, tbl_InventorySupplier[retail_price], "&gt;0")</f>
        <v>48.430714285714295</v>
      </c>
      <c r="E49" s="14">
        <f>_xlfn.MAXIFS(tbl_InventorySupplier[retail_price], tbl_InventorySupplier[category], B49)</f>
        <v>182.88</v>
      </c>
      <c r="F49" s="14" t="str">
        <f t="shared" si="5"/>
        <v>Medium Ticket</v>
      </c>
      <c r="G49" s="3"/>
      <c r="H49" s="3"/>
    </row>
    <row r="50" spans="2:8">
      <c r="B50" s="20" t="s">
        <v>78</v>
      </c>
      <c r="C50" s="1">
        <f>_xlfn.MINIFS(tbl_InventorySupplier[retail_price], tbl_InventorySupplier[category], B50, tbl_InventorySupplier[retail_price], "&gt;0")</f>
        <v>14.75</v>
      </c>
      <c r="D50" s="14">
        <f>AVERAGEIFS(tbl_InventorySupplier[retail_price], tbl_InventorySupplier[category], B50, tbl_InventorySupplier[retail_price], "&gt;0")</f>
        <v>58.985606060606074</v>
      </c>
      <c r="E50" s="14">
        <f>_xlfn.MAXIFS(tbl_InventorySupplier[retail_price], tbl_InventorySupplier[category], B50)</f>
        <v>178.53</v>
      </c>
      <c r="F50" s="14" t="str">
        <f t="shared" si="5"/>
        <v>Medium Ticket</v>
      </c>
      <c r="G50" s="3"/>
      <c r="H50" s="3"/>
    </row>
    <row r="51" spans="2:8">
      <c r="B51" s="21" t="s">
        <v>85</v>
      </c>
      <c r="C51" s="1">
        <f>_xlfn.MINIFS(tbl_InventorySupplier[retail_price], tbl_InventorySupplier[category], B51, tbl_InventorySupplier[retail_price], "&gt;0")</f>
        <v>15.97</v>
      </c>
      <c r="D51" s="14">
        <f>AVERAGEIFS(tbl_InventorySupplier[retail_price], tbl_InventorySupplier[category], B51, tbl_InventorySupplier[retail_price], "&gt;0")</f>
        <v>53.639111111111113</v>
      </c>
      <c r="E51" s="14">
        <f>_xlfn.MAXIFS(tbl_InventorySupplier[retail_price], tbl_InventorySupplier[category], B51)</f>
        <v>141.80000000000001</v>
      </c>
      <c r="F51" s="14" t="str">
        <f t="shared" si="5"/>
        <v>Medium Ticket</v>
      </c>
      <c r="G51" s="3"/>
      <c r="H51" s="3"/>
    </row>
    <row r="52" spans="2:8">
      <c r="B52" s="20" t="s">
        <v>122</v>
      </c>
      <c r="C52" s="1">
        <f>_xlfn.MINIFS(tbl_InventorySupplier[retail_price], tbl_InventorySupplier[category], B52, tbl_InventorySupplier[retail_price], "&gt;0")</f>
        <v>11.33</v>
      </c>
      <c r="D52" s="14">
        <f>AVERAGEIFS(tbl_InventorySupplier[retail_price], tbl_InventorySupplier[category], B52, tbl_InventorySupplier[retail_price], "&gt;0")</f>
        <v>60.321506849315107</v>
      </c>
      <c r="E52" s="14">
        <f>_xlfn.MAXIFS(tbl_InventorySupplier[retail_price], tbl_InventorySupplier[category], B52)</f>
        <v>493.56</v>
      </c>
      <c r="F52" s="14" t="str">
        <f t="shared" si="5"/>
        <v>Medium Ticket</v>
      </c>
      <c r="G52" s="3"/>
      <c r="H52" s="3"/>
    </row>
    <row r="53" spans="2:8">
      <c r="B53" s="21" t="s">
        <v>281</v>
      </c>
      <c r="C53" s="1">
        <f>_xlfn.MINIFS(tbl_InventorySupplier[retail_price], tbl_InventorySupplier[category], B53, tbl_InventorySupplier[retail_price], "&gt;0")</f>
        <v>8.66</v>
      </c>
      <c r="D53" s="14">
        <f>AVERAGEIFS(tbl_InventorySupplier[retail_price], tbl_InventorySupplier[category], B53, tbl_InventorySupplier[retail_price], "&gt;0")</f>
        <v>74.756530612244887</v>
      </c>
      <c r="E53" s="14">
        <f>_xlfn.MAXIFS(tbl_InventorySupplier[retail_price], tbl_InventorySupplier[category], B53)</f>
        <v>428.99</v>
      </c>
      <c r="F53" s="14" t="str">
        <f t="shared" si="5"/>
        <v>High Ticket</v>
      </c>
      <c r="G53" s="3"/>
      <c r="H53" s="3"/>
    </row>
    <row r="54" spans="2:8">
      <c r="B54" s="20" t="s">
        <v>144</v>
      </c>
      <c r="C54" s="1">
        <f>_xlfn.MINIFS(tbl_InventorySupplier[retail_price], tbl_InventorySupplier[category], B54, tbl_InventorySupplier[retail_price], "&gt;0")</f>
        <v>15.83</v>
      </c>
      <c r="D54" s="14">
        <f>AVERAGEIFS(tbl_InventorySupplier[retail_price], tbl_InventorySupplier[category], B54, tbl_InventorySupplier[retail_price], "&gt;0")</f>
        <v>45.571999999999996</v>
      </c>
      <c r="E54" s="14">
        <f>_xlfn.MAXIFS(tbl_InventorySupplier[retail_price], tbl_InventorySupplier[category], B54)</f>
        <v>91.18</v>
      </c>
      <c r="F54" s="14" t="str">
        <f t="shared" si="5"/>
        <v>Medium Ticket</v>
      </c>
      <c r="G54" s="3"/>
      <c r="H54" s="3"/>
    </row>
    <row r="55" spans="2:8">
      <c r="B55" s="23" t="s">
        <v>1052</v>
      </c>
      <c r="C55" s="1">
        <f>_xlfn.MINIFS(tbl_InventorySupplier[retail_price], tbl_InventorySupplier[category], "", tbl_InventorySupplier[retail_price], "&gt;0")</f>
        <v>0</v>
      </c>
      <c r="D55" s="14" t="e">
        <f>AVERAGEIFS(tbl_InventorySupplier[retail_price], tbl_InventorySupplier[category], "", tbl_InventorySupplier[retail_price], "&gt;0")</f>
        <v>#DIV/0!</v>
      </c>
      <c r="E55" s="14">
        <f>_xlfn.MAXIFS(tbl_InventorySupplier[retail_price], tbl_InventorySupplier[category], B55)</f>
        <v>0</v>
      </c>
      <c r="F55" s="14" t="e">
        <f>IF(D55&gt;=70, "High Ticket", IF(D55&gt;=45, "Medium Ticket", "Low Ticket"))</f>
        <v>#DIV/0!</v>
      </c>
      <c r="G55" s="3"/>
      <c r="H55" s="3"/>
    </row>
    <row r="56" spans="2:8">
      <c r="B56" s="21" t="s">
        <v>1040</v>
      </c>
      <c r="D56" s="14"/>
      <c r="E56" s="14"/>
      <c r="F56"/>
    </row>
    <row r="57" spans="2:8">
      <c r="C57" s="3"/>
      <c r="E57" s="2"/>
      <c r="F57" s="4"/>
    </row>
    <row r="58" spans="2:8" ht="18.75">
      <c r="B58" s="25" t="s">
        <v>1060</v>
      </c>
      <c r="C58" s="3"/>
      <c r="E58" s="2"/>
      <c r="F58" s="4"/>
    </row>
    <row r="59" spans="2:8">
      <c r="B59" s="6" t="s">
        <v>1061</v>
      </c>
      <c r="C59" s="6" t="s">
        <v>1034</v>
      </c>
      <c r="D59" s="7" t="s">
        <v>1062</v>
      </c>
      <c r="E59" s="6" t="s">
        <v>1063</v>
      </c>
      <c r="F59" s="7" t="s">
        <v>1060</v>
      </c>
    </row>
    <row r="60" spans="2:8">
      <c r="B60" t="s">
        <v>1064</v>
      </c>
      <c r="C60">
        <f>COUNTIF(tbl_InventorySupplier[stock_health_status], "*Below reorder point*")</f>
        <v>70</v>
      </c>
      <c r="D60" s="4">
        <f>SUMIF(tbl_InventorySupplier[stock_health_status], "*Below reorder point*", tbl_InventorySupplier[internal_stock])</f>
        <v>533</v>
      </c>
      <c r="E60" s="4">
        <f>(COUNTIFS(tbl_InventorySupplier[stock_health_status], "*WARNING*") * 100) - SUMIFS(tbl_InventorySupplier[internal_stock], tbl_InventorySupplier[stock_health_status], "*WARNING*")</f>
        <v>6467</v>
      </c>
      <c r="F60" s="1" cm="1">
        <f t="array" ref="F60">SUMPRODUCT((tbl_InventorySupplier[internal_stock]&lt;=tbl_InventorySupplier[reorder_point])*(tbl_InventorySupplier[internal_stock]&gt;0)*(100-tbl_InventorySupplier[internal_stock])*(tbl_InventorySupplier[current_supplier_cost]))</f>
        <v>245168.72000000006</v>
      </c>
    </row>
    <row r="61" spans="2:8">
      <c r="B61" t="s">
        <v>1065</v>
      </c>
      <c r="C61">
        <f>COUNTIF(tbl_InventorySupplier[stock_health_status], "*Internal stockout*")</f>
        <v>12</v>
      </c>
      <c r="D61" s="4">
        <f>SUMIF(tbl_InventorySupplier[stock_health_status], "*Internal stockout*", tbl_InventorySupplier[internal_stock])</f>
        <v>0</v>
      </c>
      <c r="E61" s="4">
        <f>(COUNTIFS(tbl_InventorySupplier[stock_health_status], "*CRITICAL*") * 100) - SUMIFS(tbl_InventorySupplier[internal_stock], tbl_InventorySupplier[stock_health_status], "*CRITICAL*")</f>
        <v>1200</v>
      </c>
      <c r="F61" s="1" cm="1">
        <f t="array" ref="F61">SUMPRODUCT((tbl_InventorySupplier[internal_stock]=0)*100*(tbl_InventorySupplier[current_supplier_cost]))</f>
        <v>42305</v>
      </c>
    </row>
    <row r="62" spans="2:8">
      <c r="B62" t="s">
        <v>1040</v>
      </c>
      <c r="C62">
        <f>SUBTOTAL(109,C60:C61)</f>
        <v>82</v>
      </c>
      <c r="D62"/>
      <c r="E62">
        <f>SUBTOTAL(109,E60:E61)</f>
        <v>7667</v>
      </c>
      <c r="F62" s="1">
        <f>SUBTOTAL(109,tbl_RequiredReorderBudget[Required Reorder Budget])</f>
        <v>287473.72000000009</v>
      </c>
    </row>
    <row r="64" spans="2:8" ht="18.75">
      <c r="B64" s="26" t="s">
        <v>1066</v>
      </c>
    </row>
    <row r="65" spans="2:8">
      <c r="B65" t="s">
        <v>1067</v>
      </c>
      <c r="C65" t="s">
        <v>1034</v>
      </c>
      <c r="D65" s="10" t="s">
        <v>1068</v>
      </c>
      <c r="E65" s="10" t="s">
        <v>1069</v>
      </c>
      <c r="F65" s="10" t="s">
        <v>1070</v>
      </c>
      <c r="G65" t="s">
        <v>1071</v>
      </c>
      <c r="H65" t="s">
        <v>1066</v>
      </c>
    </row>
    <row r="66" spans="2:8">
      <c r="B66" t="s">
        <v>1072</v>
      </c>
      <c r="C66" cm="1">
        <f t="array" ref="C66">SUMPRODUCT((tbl_InventorySupplier[internal_stock] &lt;= tbl_InventorySupplier[reorder_point]) * (tbl_InventorySupplier[supplier_stock] &gt;= (100 - tbl_InventorySupplier[internal_stock])))</f>
        <v>61</v>
      </c>
      <c r="D66" s="10" cm="1">
        <f t="array" ref="D66">SUMPRODUCT((tbl_InventorySupplier[internal_stock] &lt;= tbl_InventorySupplier[reorder_point]) * (tbl_InventorySupplier[supplier_stock] &gt;= (100 - tbl_InventorySupplier[internal_stock])) * (100 - tbl_InventorySupplier[internal_stock]))</f>
        <v>5679</v>
      </c>
      <c r="E66" s="10" cm="1">
        <f t="array" ref="E66">SUMPRODUCT((tbl_InventorySupplier[internal_stock] &lt;= tbl_InventorySupplier[reorder_point]) * (tbl_InventorySupplier[supplier_stock] &gt;= (100 - tbl_InventorySupplier[internal_stock])) * (100 - tbl_InventorySupplier[internal_stock]))</f>
        <v>5679</v>
      </c>
      <c r="F66" s="10">
        <f t="shared" ref="F66:F67" si="6">D66 - E66</f>
        <v>0</v>
      </c>
      <c r="G66" s="2">
        <f>E66 / D66</f>
        <v>1</v>
      </c>
      <c r="H66" s="16" cm="1">
        <f t="array" ref="H66">SUMPRODUCT((tbl_InventorySupplier[internal_stock] &lt;= tbl_InventorySupplier[reorder_point]) * (tbl_InventorySupplier[supplier_stock] &gt;= (100 - tbl_InventorySupplier[internal_stock])) * (100 - tbl_InventorySupplier[internal_stock]) * tbl_InventorySupplier[current_supplier_cost])</f>
        <v>227612.84000000005</v>
      </c>
    </row>
    <row r="67" spans="2:8">
      <c r="B67" t="s">
        <v>1073</v>
      </c>
      <c r="C67" cm="1">
        <f t="array" ref="C67">SUMPRODUCT((tbl_InventorySupplier[internal_stock] &lt;= tbl_InventorySupplier[reorder_point]) * (tbl_InventorySupplier[supplier_stock] &lt; (100 - tbl_InventorySupplier[internal_stock])))</f>
        <v>21</v>
      </c>
      <c r="D67" s="10" cm="1">
        <f t="array" ref="D67">SUMPRODUCT((tbl_InventorySupplier[internal_stock] &lt;= tbl_InventorySupplier[reorder_point]) * (tbl_InventorySupplier[supplier_stock] &lt; (100 - tbl_InventorySupplier[internal_stock])) * (100 - tbl_InventorySupplier[internal_stock]))</f>
        <v>1988</v>
      </c>
      <c r="E67" s="10" cm="1">
        <f t="array" ref="E67">SUMPRODUCT((tbl_InventorySupplier[internal_stock] &lt;= tbl_InventorySupplier[reorder_point]) * (tbl_InventorySupplier[supplier_stock] &lt; (100 - tbl_InventorySupplier[internal_stock])) * tbl_InventorySupplier[supplier_stock])</f>
        <v>944</v>
      </c>
      <c r="F67" s="10">
        <f t="shared" si="6"/>
        <v>1044</v>
      </c>
      <c r="G67" s="2">
        <f>E67 / D67</f>
        <v>0.47484909456740443</v>
      </c>
      <c r="H67" s="16" cm="1">
        <f t="array" ref="H67">SUMPRODUCT((tbl_InventorySupplier[internal_stock] &lt;= tbl_InventorySupplier[reorder_point]) * (tbl_InventorySupplier[supplier_stock] &lt; (100 - tbl_InventorySupplier[internal_stock])) * tbl_InventorySupplier[supplier_stock] * tbl_InventorySupplier[current_supplier_cost])</f>
        <v>40890.76</v>
      </c>
    </row>
    <row r="68" spans="2:8">
      <c r="B68" t="s">
        <v>1040</v>
      </c>
      <c r="C68">
        <f>SUBTOTAL(109,C66:C67)</f>
        <v>82</v>
      </c>
      <c r="D68" s="10">
        <f>SUBTOTAL(109,D66:D67)</f>
        <v>7667</v>
      </c>
      <c r="E68" s="10">
        <f>SUBTOTAL(109,E66:E67)</f>
        <v>6623</v>
      </c>
      <c r="F68" s="10">
        <f>SUBTOTAL(109,F66:F67)</f>
        <v>1044</v>
      </c>
      <c r="G68" s="2">
        <f>E68/D68</f>
        <v>0.86383200730403031</v>
      </c>
      <c r="H68" s="16">
        <f>SUBTOTAL(109,tbl_ActionableReorderBudget[Actionable Reorder Budget])</f>
        <v>268503.60000000003</v>
      </c>
    </row>
    <row r="69" spans="2:8">
      <c r="D69"/>
      <c r="E69"/>
      <c r="F69"/>
      <c r="G69" s="2"/>
      <c r="H69" s="16"/>
    </row>
    <row r="70" spans="2:8" ht="18.75">
      <c r="B70" s="25" t="s">
        <v>1074</v>
      </c>
    </row>
    <row r="71" spans="2:8">
      <c r="B71" s="6" t="s">
        <v>1075</v>
      </c>
      <c r="C71" s="6" t="s">
        <v>1034</v>
      </c>
      <c r="D71" s="19" t="s">
        <v>1043</v>
      </c>
      <c r="E71" s="17" t="s">
        <v>1044</v>
      </c>
      <c r="F71" s="19" t="s">
        <v>1035</v>
      </c>
      <c r="G71" s="6" t="s">
        <v>1076</v>
      </c>
    </row>
    <row r="72" spans="2:8">
      <c r="B72" t="s">
        <v>28</v>
      </c>
      <c r="C72">
        <f>COUNTIF(tbl_InventorySupplier[catalog_integration_status], "MATCHED")</f>
        <v>500</v>
      </c>
      <c r="D72" s="10">
        <f>SUMIF(tbl_InventorySupplier[catalog_integration_status], "MATCHED", tbl_InventorySupplier[internal_stock])</f>
        <v>25438</v>
      </c>
      <c r="E72" s="1" cm="1">
        <f t="array" ref="E72">SUMPRODUCT(--(tbl_InventorySupplier[catalog_integration_status]="MATCHED"), tbl_InventorySupplier[internal_stock], tbl_InventorySupplier[current_supplier_cost])</f>
        <v>985340.8600000008</v>
      </c>
      <c r="F72" s="10">
        <f>SUMIF(tbl_InventorySupplier[catalog_integration_status], "MATCHED", tbl_InventorySupplier[supplier_stock])</f>
        <v>120784</v>
      </c>
      <c r="G72" s="14" cm="1">
        <f t="array" ref="G72">SUMPRODUCT(--(tbl_InventorySupplier[catalog_integration_status]="MATCHED"), tbl_InventorySupplier[supplier_stock], tbl_InventorySupplier[current_supplier_cost])</f>
        <v>4534223.53</v>
      </c>
    </row>
    <row r="73" spans="2:8">
      <c r="B73" t="s">
        <v>1077</v>
      </c>
      <c r="C73">
        <f>COUNTIF(tbl_InventorySupplier[catalog_integration_status], "SUPPLIER ONLY")</f>
        <v>5</v>
      </c>
      <c r="D73" s="10">
        <f>SUMIF(tbl_InventorySupplier[catalog_integration_status], "SUPPLIER ONLY", tbl_InventorySupplier[internal_stock])</f>
        <v>0</v>
      </c>
      <c r="E73" s="1" cm="1">
        <f t="array" ref="E73">SUMPRODUCT(--(tbl_InventorySupplier[catalog_integration_status]="SUPPLIER ONLY"), tbl_InventorySupplier[internal_stock], tbl_InventorySupplier[current_supplier_cost])</f>
        <v>0</v>
      </c>
      <c r="F73" s="10">
        <f>SUMIF(tbl_InventorySupplier[catalog_integration_status], "SUPPLIER ONLY", tbl_InventorySupplier[supplier_stock])</f>
        <v>580</v>
      </c>
      <c r="G73" s="14" cm="1">
        <f t="array" ref="G73">SUMPRODUCT((tbl_InventorySupplier[catalog_integration_status]="SUPPLIER ONLY") * (tbl_InventorySupplier[supplier_stock]) * (_xlfn.NUMBERVALUE(SUBSTITUTE(SUBSTITUTE(tbl_InventorySupplier[current_supplier_cost], "€", ""), " ", ""))))</f>
        <v>42183.29</v>
      </c>
    </row>
    <row r="74" spans="2:8">
      <c r="B74" t="s">
        <v>1040</v>
      </c>
      <c r="C74">
        <f>SUBTOTAL(109,C72:C73)</f>
        <v>505</v>
      </c>
      <c r="D74" s="10">
        <f>SUBTOTAL(109,D72:D73)</f>
        <v>25438</v>
      </c>
      <c r="E74" s="14">
        <f>SUBTOTAL(109,E72:E73)</f>
        <v>985340.8600000008</v>
      </c>
      <c r="F74" s="10">
        <f>SUBTOTAL(109,F72:F73)</f>
        <v>121364</v>
      </c>
      <c r="G74" s="14">
        <f>SUBTOTAL(109,G72:G73)</f>
        <v>4576406.82</v>
      </c>
    </row>
  </sheetData>
  <pageMargins left="0.7" right="0.7" top="0.75" bottom="0.75" header="0.3" footer="0.3"/>
  <ignoredErrors>
    <ignoredError sqref="F27 F55 D55" evalError="1"/>
  </ignoredErrors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F93E-1B94-4D15-A17F-4C2B157FC5DB}">
  <dimension ref="A1:AF68"/>
  <sheetViews>
    <sheetView showGridLines="0" tabSelected="1" workbookViewId="0">
      <selection activeCell="AB10" sqref="AB10"/>
    </sheetView>
  </sheetViews>
  <sheetFormatPr defaultColWidth="10.7109375" defaultRowHeight="15"/>
  <cols>
    <col min="1" max="4" width="10.7109375" customWidth="1"/>
  </cols>
  <sheetData>
    <row r="1" spans="2:25" ht="63" customHeight="1">
      <c r="C1" s="27"/>
      <c r="D1" s="27"/>
      <c r="E1" s="28"/>
      <c r="F1" s="63"/>
      <c r="G1" s="63"/>
      <c r="H1" s="88" t="s">
        <v>1078</v>
      </c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</row>
    <row r="2" spans="2:25" ht="27" customHeight="1">
      <c r="B2" s="82" t="s">
        <v>1079</v>
      </c>
      <c r="C2" s="82"/>
      <c r="D2" s="82"/>
      <c r="E2" s="82"/>
      <c r="G2" s="82" t="s">
        <v>1080</v>
      </c>
      <c r="H2" s="82"/>
      <c r="I2" s="82"/>
      <c r="J2" s="82"/>
      <c r="K2" s="61"/>
      <c r="L2" s="82" t="s">
        <v>1081</v>
      </c>
      <c r="M2" s="82"/>
      <c r="N2" s="82"/>
      <c r="O2" s="82"/>
      <c r="P2" s="61"/>
      <c r="Q2" s="82" t="s">
        <v>1082</v>
      </c>
      <c r="R2" s="82"/>
      <c r="S2" s="82"/>
      <c r="T2" s="82"/>
      <c r="U2" s="61"/>
      <c r="V2" s="82" t="s">
        <v>1083</v>
      </c>
      <c r="W2" s="82"/>
      <c r="X2" s="82"/>
      <c r="Y2" s="82"/>
    </row>
    <row r="3" spans="2:25" ht="32.25" customHeight="1">
      <c r="B3" s="83">
        <f>'02_Operational_Analysis'!E14</f>
        <v>985340.86000000045</v>
      </c>
      <c r="C3" s="83"/>
      <c r="D3" s="83"/>
      <c r="E3" s="83"/>
      <c r="G3" s="86">
        <f>'02_Operational_Analysis'!G74</f>
        <v>4576406.82</v>
      </c>
      <c r="H3" s="86"/>
      <c r="I3" s="86"/>
      <c r="J3" s="86"/>
      <c r="K3" s="35"/>
      <c r="L3" s="83">
        <f>'02_Operational_Analysis'!G7</f>
        <v>4413173.8900000025</v>
      </c>
      <c r="M3" s="83"/>
      <c r="N3" s="83"/>
      <c r="O3" s="83"/>
      <c r="P3" s="35"/>
      <c r="Q3" s="83">
        <f>'02_Operational_Analysis'!H68</f>
        <v>268503.60000000003</v>
      </c>
      <c r="R3" s="83"/>
      <c r="S3" s="83"/>
      <c r="T3" s="83"/>
      <c r="U3" s="35"/>
      <c r="V3" s="83">
        <f>'02_Operational_Analysis'!F62 - '02_Operational_Analysis'!H68</f>
        <v>18970.120000000054</v>
      </c>
      <c r="W3" s="83"/>
      <c r="X3" s="83"/>
      <c r="Y3" s="83"/>
    </row>
    <row r="4" spans="2:25" ht="18.75" customHeight="1">
      <c r="B4" s="84" t="str">
        <f>TEXT('02_Operational_Analysis'!D14, "#,##0") &amp; "  in-house stock units"</f>
        <v>25,438  in-house stock units</v>
      </c>
      <c r="C4" s="84"/>
      <c r="D4" s="84"/>
      <c r="E4" s="84"/>
      <c r="G4" s="87" t="str">
        <f>TEXT('02_Operational_Analysis'!F74, "#,##0") &amp; "  supplier stock units"</f>
        <v>121,364  supplier stock units</v>
      </c>
      <c r="H4" s="87"/>
      <c r="I4" s="87"/>
      <c r="J4" s="87"/>
      <c r="K4" s="64"/>
      <c r="L4" s="85" t="str">
        <f>"AVG margin: " &amp; TEXT('02_Operational_Analysis'!H7, "0.00%")</f>
        <v>AVG margin: 49.09%</v>
      </c>
      <c r="M4" s="85"/>
      <c r="N4" s="85"/>
      <c r="O4" s="85"/>
      <c r="P4" s="62"/>
      <c r="Q4" s="87" t="str">
        <f>"Order Fulfillment Capacity: " &amp; TEXT('02_Operational_Analysis'!G68, "0.00%")</f>
        <v>Order Fulfillment Capacity: 86.38%</v>
      </c>
      <c r="R4" s="87"/>
      <c r="S4" s="87"/>
      <c r="T4" s="87"/>
      <c r="U4" s="62"/>
      <c r="V4" s="87" t="s">
        <v>1084</v>
      </c>
      <c r="W4" s="87"/>
      <c r="X4" s="87"/>
      <c r="Y4" s="87"/>
    </row>
    <row r="5" spans="2:25"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27" spans="1:32" ht="12" customHeight="1">
      <c r="B27" s="36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8"/>
    </row>
    <row r="28" spans="1:32" ht="17.25" customHeight="1">
      <c r="A28" s="29"/>
      <c r="B28" s="39"/>
      <c r="C28" s="40"/>
      <c r="D28" s="40"/>
      <c r="E28" s="40"/>
      <c r="F28" s="97" t="s">
        <v>1085</v>
      </c>
      <c r="G28" s="97"/>
      <c r="H28" s="97"/>
      <c r="I28" s="97"/>
      <c r="J28" s="97"/>
      <c r="K28" s="97"/>
      <c r="L28" s="97"/>
      <c r="M28" s="97"/>
      <c r="N28" s="97"/>
      <c r="O28" s="44"/>
      <c r="P28" s="44"/>
      <c r="Q28" s="44"/>
      <c r="R28" s="44"/>
      <c r="S28" s="41"/>
      <c r="T28" s="29"/>
      <c r="U28" s="29"/>
      <c r="V28" s="29"/>
      <c r="W28" s="29"/>
      <c r="X28" s="29"/>
      <c r="Y28" s="29"/>
      <c r="Z28" s="29"/>
    </row>
    <row r="29" spans="1:32" ht="17.25" customHeight="1">
      <c r="A29" s="29"/>
      <c r="B29" s="39"/>
      <c r="C29" s="40"/>
      <c r="D29" s="40"/>
      <c r="E29" s="40"/>
      <c r="F29" s="97"/>
      <c r="G29" s="97"/>
      <c r="H29" s="97"/>
      <c r="I29" s="97"/>
      <c r="J29" s="97"/>
      <c r="K29" s="97"/>
      <c r="L29" s="97"/>
      <c r="M29" s="97"/>
      <c r="N29" s="97"/>
      <c r="O29" s="44"/>
      <c r="P29" s="44"/>
      <c r="Q29" s="44"/>
      <c r="R29" s="44"/>
      <c r="S29" s="41"/>
      <c r="T29" s="29"/>
      <c r="U29" s="29"/>
      <c r="V29" s="29"/>
      <c r="W29" s="29"/>
      <c r="X29" s="29"/>
      <c r="Y29" s="29"/>
      <c r="Z29" s="29"/>
    </row>
    <row r="30" spans="1:32">
      <c r="A30" s="29"/>
      <c r="B30" s="52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4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 spans="1:32">
      <c r="A31" s="29"/>
      <c r="B31" s="31"/>
      <c r="C31" s="29"/>
      <c r="D31" s="29"/>
      <c r="E31" s="29"/>
      <c r="F31" s="29"/>
      <c r="G31" s="29"/>
      <c r="H31" s="29"/>
      <c r="I31" s="29"/>
      <c r="J31" s="29"/>
      <c r="K31" s="15"/>
      <c r="L31" s="15"/>
      <c r="M31" s="15"/>
      <c r="N31" s="15"/>
      <c r="O31" s="15"/>
      <c r="P31" s="15"/>
      <c r="Q31" s="15"/>
      <c r="R31" s="15"/>
      <c r="S31" s="42"/>
      <c r="T31" s="15"/>
      <c r="U31" s="15"/>
      <c r="V31" s="15"/>
      <c r="W31" s="15"/>
      <c r="X31" s="15"/>
      <c r="Y31" s="15"/>
      <c r="Z31" s="15"/>
      <c r="AA31" s="15"/>
      <c r="AB31" s="29"/>
      <c r="AC31" s="29"/>
      <c r="AD31" s="29"/>
      <c r="AE31" s="29"/>
      <c r="AF31" s="29"/>
    </row>
    <row r="32" spans="1:32" ht="29.25" customHeight="1">
      <c r="A32" s="29"/>
      <c r="B32" s="31"/>
      <c r="C32" s="89" t="s">
        <v>1086</v>
      </c>
      <c r="D32" s="89"/>
      <c r="E32" s="89"/>
      <c r="F32" s="90" t="s">
        <v>1034</v>
      </c>
      <c r="G32" s="91" t="s">
        <v>1043</v>
      </c>
      <c r="H32" s="91"/>
      <c r="I32" s="91" t="s">
        <v>1087</v>
      </c>
      <c r="J32" s="91"/>
      <c r="K32" s="91" t="s">
        <v>1035</v>
      </c>
      <c r="L32" s="91"/>
      <c r="M32" s="91" t="s">
        <v>1088</v>
      </c>
      <c r="N32" s="91"/>
      <c r="O32" s="91" t="s">
        <v>1089</v>
      </c>
      <c r="P32" s="91"/>
      <c r="Q32" s="91"/>
      <c r="R32" s="91"/>
      <c r="S32" s="32"/>
      <c r="T32" s="15"/>
      <c r="U32" s="15"/>
      <c r="V32" s="15"/>
      <c r="W32" s="15"/>
      <c r="X32" s="15"/>
      <c r="Y32" s="15"/>
      <c r="Z32" s="15"/>
      <c r="AA32" s="15"/>
      <c r="AB32" s="29"/>
      <c r="AC32" s="29"/>
      <c r="AD32" s="29"/>
      <c r="AE32" s="29"/>
      <c r="AF32" s="29"/>
    </row>
    <row r="33" spans="1:32" ht="15" customHeight="1">
      <c r="A33" s="29"/>
      <c r="B33" s="31"/>
      <c r="C33" s="69"/>
      <c r="D33" s="69"/>
      <c r="E33" s="69"/>
      <c r="F33" s="46"/>
      <c r="G33" s="73"/>
      <c r="H33" s="73"/>
      <c r="I33" s="73"/>
      <c r="J33" s="73"/>
      <c r="K33" s="73"/>
      <c r="L33" s="73"/>
      <c r="M33" s="73"/>
      <c r="N33" s="73"/>
      <c r="O33" s="69"/>
      <c r="P33" s="69"/>
      <c r="Q33" s="69"/>
      <c r="R33" s="69"/>
      <c r="S33" s="32"/>
      <c r="T33" s="15"/>
      <c r="U33" s="15"/>
      <c r="V33" s="15"/>
      <c r="W33" s="15"/>
      <c r="X33" s="15"/>
      <c r="Y33" s="15"/>
      <c r="Z33" s="15"/>
      <c r="AA33" s="15"/>
      <c r="AB33" s="29"/>
      <c r="AC33" s="29"/>
      <c r="AD33" s="29"/>
      <c r="AE33" s="29"/>
      <c r="AF33" s="29"/>
    </row>
    <row r="34" spans="1:32" ht="15" customHeight="1">
      <c r="A34" s="29"/>
      <c r="B34" s="31"/>
      <c r="C34" s="75" t="s">
        <v>1090</v>
      </c>
      <c r="D34" s="75"/>
      <c r="E34" s="75"/>
      <c r="F34" s="45">
        <f>COUNTIF(tbl_InventorySupplier[duplicate_name], "DUPLICATE")</f>
        <v>16</v>
      </c>
      <c r="G34" s="74">
        <f>SUMIFS(tbl_InventorySupplier[internal_stock], tbl_InventorySupplier[duplicate_name], "DUPLICATE")</f>
        <v>915</v>
      </c>
      <c r="H34" s="74"/>
      <c r="I34" s="72" cm="1">
        <f t="array" ref="I34">SUMPRODUCT((tbl_InventorySupplier[duplicate_name]="DUPLICATE") * tbl_InventorySupplier[internal_stock] * tbl_InventorySupplier[current_supplier_cost])</f>
        <v>57582.850000000006</v>
      </c>
      <c r="J34" s="72"/>
      <c r="K34" s="74">
        <f>SUMIFS(tbl_InventorySupplier[supplier_stock], tbl_InventorySupplier[duplicate_name], "DUPLICATE")</f>
        <v>3525</v>
      </c>
      <c r="L34" s="74"/>
      <c r="M34" s="68" cm="1">
        <f t="array" ref="M34">SUMPRODUCT((tbl_InventorySupplier[duplicate_name]="DUPLICATE") * tbl_InventorySupplier[supplier_stock] * tbl_InventorySupplier[current_supplier_cost])</f>
        <v>207787.07</v>
      </c>
      <c r="N34" s="68"/>
      <c r="O34" s="70" t="s">
        <v>1091</v>
      </c>
      <c r="P34" s="70"/>
      <c r="Q34" s="70"/>
      <c r="R34" s="70"/>
      <c r="S34" s="42"/>
      <c r="T34" s="15"/>
      <c r="U34" s="15"/>
      <c r="V34" s="15"/>
      <c r="W34" s="15"/>
      <c r="X34" s="15"/>
      <c r="Y34" s="15"/>
      <c r="Z34" s="15"/>
      <c r="AA34" s="15"/>
      <c r="AB34" s="29"/>
      <c r="AC34" s="29"/>
      <c r="AD34" s="29"/>
      <c r="AE34" s="29"/>
      <c r="AF34" s="29"/>
    </row>
    <row r="35" spans="1:32">
      <c r="A35" s="29"/>
      <c r="B35" s="31"/>
      <c r="C35" s="75" t="s">
        <v>1092</v>
      </c>
      <c r="D35" s="75"/>
      <c r="E35" s="75"/>
      <c r="F35" s="45">
        <f>COUNTIF(tbl_InventorySupplier[catalog_integration_status], "SUPPLIER ONLY")</f>
        <v>5</v>
      </c>
      <c r="G35" s="74">
        <f>SUMIFS(tbl_InventorySupplier[internal_stock], tbl_InventorySupplier[catalog_integration_status], "SUPPLIER ONLY")</f>
        <v>0</v>
      </c>
      <c r="H35" s="74"/>
      <c r="I35" s="72" cm="1">
        <f t="array" ref="I35">SUMPRODUCT((tbl_InventorySupplier[catalog_integration_status]="SUPPLIER ONLY") * tbl_InventorySupplier[internal_stock] * tbl_InventorySupplier[current_supplier_cost])</f>
        <v>0</v>
      </c>
      <c r="J35" s="72"/>
      <c r="K35" s="74">
        <f>SUMIFS(tbl_InventorySupplier[supplier_stock], tbl_InventorySupplier[catalog_integration_status], "SUPPLIER ONLY")</f>
        <v>580</v>
      </c>
      <c r="L35" s="74"/>
      <c r="M35" s="68" cm="1">
        <f t="array" ref="M35">SUMPRODUCT((tbl_InventorySupplier[catalog_integration_status]="SUPPLIER ONLY") * tbl_InventorySupplier[supplier_stock] * tbl_InventorySupplier[current_supplier_cost])</f>
        <v>42183.29</v>
      </c>
      <c r="N35" s="68"/>
      <c r="O35" s="70" t="s">
        <v>1093</v>
      </c>
      <c r="P35" s="70"/>
      <c r="Q35" s="70"/>
      <c r="R35" s="70"/>
      <c r="S35" s="42"/>
      <c r="T35" s="15"/>
      <c r="U35" s="15"/>
      <c r="V35" s="15"/>
      <c r="W35" s="15"/>
      <c r="X35" s="15"/>
      <c r="Y35" s="15"/>
      <c r="Z35" s="15"/>
      <c r="AA35" s="15"/>
      <c r="AB35" s="29"/>
      <c r="AC35" s="29"/>
      <c r="AD35" s="29"/>
      <c r="AE35" s="29"/>
      <c r="AF35" s="29"/>
    </row>
    <row r="36" spans="1:32">
      <c r="A36" s="29"/>
      <c r="B36" s="31"/>
      <c r="C36" s="75" t="s">
        <v>1094</v>
      </c>
      <c r="D36" s="75"/>
      <c r="E36" s="75"/>
      <c r="F36" s="45">
        <f>COUNTIF(tbl_InventorySupplier[margin_health_status], "CRITICAL Negative margin")</f>
        <v>9</v>
      </c>
      <c r="G36" s="74">
        <f>SUMIFS(tbl_InventorySupplier[internal_stock], tbl_InventorySupplier[margin_health_status], "CRITICAL Negative margin")</f>
        <v>461</v>
      </c>
      <c r="H36" s="74"/>
      <c r="I36" s="72" cm="1">
        <f t="array" ref="I36">SUMPRODUCT((tbl_InventorySupplier[margin_health_status]="CRITICAL Negative margin") * tbl_InventorySupplier[internal_stock] * tbl_InventorySupplier[current_supplier_cost])</f>
        <v>27956.609999999997</v>
      </c>
      <c r="J36" s="72"/>
      <c r="K36" s="74">
        <f>SUMIFS(tbl_InventorySupplier[supplier_stock], tbl_InventorySupplier[margin_health_status], "CRITICAL Negative margin")</f>
        <v>2168</v>
      </c>
      <c r="L36" s="74"/>
      <c r="M36" s="68" cm="1">
        <f t="array" ref="M36">SUMPRODUCT((tbl_InventorySupplier[margin_health_status]="CRITICAL Negative margin") * tbl_InventorySupplier[supplier_stock] * tbl_InventorySupplier[current_supplier_cost])</f>
        <v>135344.38</v>
      </c>
      <c r="N36" s="68"/>
      <c r="O36" s="70" t="s">
        <v>1095</v>
      </c>
      <c r="P36" s="70"/>
      <c r="Q36" s="70"/>
      <c r="R36" s="70"/>
      <c r="S36" s="42"/>
      <c r="T36" s="15"/>
      <c r="U36" s="15"/>
      <c r="V36" s="15"/>
      <c r="W36" s="15"/>
      <c r="X36" s="15"/>
      <c r="Y36" s="15"/>
      <c r="Z36" s="15"/>
      <c r="AA36" s="15"/>
      <c r="AB36" s="29"/>
      <c r="AC36" s="29"/>
      <c r="AD36" s="29"/>
      <c r="AE36" s="29"/>
      <c r="AF36" s="29"/>
    </row>
    <row r="37" spans="1:32" ht="15.75" customHeight="1">
      <c r="A37" s="29"/>
      <c r="B37" s="31"/>
      <c r="C37" s="75" t="s">
        <v>1096</v>
      </c>
      <c r="D37" s="75"/>
      <c r="E37" s="75"/>
      <c r="F37" s="45">
        <f>COUNTIF(tbl_InventorySupplier[margin_health_status], "N/A Missing price data")</f>
        <v>13</v>
      </c>
      <c r="G37" s="74">
        <f>SUMIFS(tbl_InventorySupplier[internal_stock], tbl_InventorySupplier[margin_health_status], "N/A Missing price data")</f>
        <v>450</v>
      </c>
      <c r="H37" s="74"/>
      <c r="I37" s="72" cm="1">
        <f t="array" ref="I37">SUMPRODUCT((tbl_InventorySupplier[margin_health_status]="N/A Missing price data") * tbl_InventorySupplier[internal_stock] * tbl_InventorySupplier[current_supplier_cost])</f>
        <v>7439.55</v>
      </c>
      <c r="J37" s="72"/>
      <c r="K37" s="74">
        <f>SUMIFS(tbl_InventorySupplier[supplier_stock], tbl_InventorySupplier[margin_health_status], "N/A Missing price data")</f>
        <v>2621</v>
      </c>
      <c r="L37" s="74"/>
      <c r="M37" s="68" cm="1">
        <f t="array" ref="M37">SUMPRODUCT((tbl_InventorySupplier[margin_health_status]="N/A Missing price data") * tbl_InventorySupplier[supplier_stock] * tbl_InventorySupplier[current_supplier_cost])</f>
        <v>78516.159999999989</v>
      </c>
      <c r="N37" s="68"/>
      <c r="O37" s="70" t="s">
        <v>1097</v>
      </c>
      <c r="P37" s="70"/>
      <c r="Q37" s="70"/>
      <c r="R37" s="70"/>
      <c r="S37" s="42"/>
      <c r="AB37" s="62"/>
      <c r="AC37" s="62"/>
      <c r="AD37" s="50"/>
      <c r="AE37" s="50"/>
      <c r="AF37" s="15"/>
    </row>
    <row r="38" spans="1:32" ht="15" customHeight="1">
      <c r="A38" s="29"/>
      <c r="B38" s="31"/>
      <c r="C38" s="75" t="s">
        <v>1098</v>
      </c>
      <c r="D38" s="75"/>
      <c r="E38" s="75"/>
      <c r="F38" s="45">
        <f>COUNTIFS(tbl_InventorySupplier[stock_health_status], "*stockout*")</f>
        <v>12</v>
      </c>
      <c r="G38" s="74">
        <f>SUMIFS(tbl_InventorySupplier[internal_stock], tbl_InventorySupplier[stock_health_status], "*stockout*")</f>
        <v>0</v>
      </c>
      <c r="H38" s="74"/>
      <c r="I38" s="72" cm="1">
        <f t="array" ref="I38">SUMPRODUCT(ISNUMBER(SEARCH("stockout", tbl_InventorySupplier[stock_health_status])) * tbl_InventorySupplier[internal_stock] * tbl_InventorySupplier[current_supplier_cost])</f>
        <v>0</v>
      </c>
      <c r="J38" s="72"/>
      <c r="K38" s="74">
        <f>SUMIFS(tbl_InventorySupplier[supplier_stock], tbl_InventorySupplier[stock_health_status], "*stockout*")</f>
        <v>2148</v>
      </c>
      <c r="L38" s="74"/>
      <c r="M38" s="68" cm="1">
        <f t="array" ref="M38">SUMPRODUCT(ISNUMBER(SEARCH("stockout", tbl_InventorySupplier[stock_health_status])) * tbl_InventorySupplier[supplier_stock] * tbl_InventorySupplier[current_supplier_cost])</f>
        <v>83866.429999999993</v>
      </c>
      <c r="N38" s="68"/>
      <c r="O38" s="71" t="s">
        <v>1099</v>
      </c>
      <c r="P38" s="71"/>
      <c r="Q38" s="71"/>
      <c r="R38" s="71"/>
      <c r="S38" s="42"/>
      <c r="AB38" s="62"/>
      <c r="AC38" s="62"/>
      <c r="AD38" s="50"/>
      <c r="AE38" s="50"/>
      <c r="AF38" s="15"/>
    </row>
    <row r="39" spans="1:32">
      <c r="A39" s="29"/>
      <c r="B39" s="31"/>
      <c r="C39" s="75" t="s">
        <v>1100</v>
      </c>
      <c r="D39" s="75"/>
      <c r="E39" s="75"/>
      <c r="F39" s="45" cm="1">
        <f t="array" ref="F39">SUMPRODUCT((tbl_InventorySupplier[internal_stock] &lt;= tbl_InventorySupplier[reorder_point]) * (tbl_InventorySupplier[supplier_stock] &gt;= (100 - tbl_InventorySupplier[internal_stock])))</f>
        <v>61</v>
      </c>
      <c r="G39" s="74" cm="1">
        <f t="array" ref="G39">SUMPRODUCT((tbl_InventorySupplier[internal_stock] &lt;= tbl_InventorySupplier[reorder_point]) * (tbl_InventorySupplier[supplier_stock] &gt;= (100 - tbl_InventorySupplier[internal_stock])) * tbl_InventorySupplier[internal_stock])</f>
        <v>421</v>
      </c>
      <c r="H39" s="74"/>
      <c r="I39" s="72" cm="1">
        <f t="array" ref="I39">SUMPRODUCT((tbl_InventorySupplier[internal_stock] &lt;= tbl_InventorySupplier[reorder_point]) * (tbl_InventorySupplier[supplier_stock] &gt;= (100 - tbl_InventorySupplier[internal_stock])) * tbl_InventorySupplier[internal_stock] * tbl_InventorySupplier[current_supplier_cost])</f>
        <v>15408.160000000002</v>
      </c>
      <c r="J39" s="72"/>
      <c r="K39" s="74" cm="1">
        <f t="array" ref="K39">SUMPRODUCT((tbl_InventorySupplier[internal_stock] &lt;= tbl_InventorySupplier[reorder_point]) * (tbl_InventorySupplier[supplier_stock] &gt;= (100 - tbl_InventorySupplier[internal_stock])) * tbl_InventorySupplier[supplier_stock])</f>
        <v>18577</v>
      </c>
      <c r="L39" s="74"/>
      <c r="M39" s="68" cm="1">
        <f t="array" ref="M39">SUMPRODUCT((tbl_InventorySupplier[internal_stock] &lt;= tbl_InventorySupplier[reorder_point]) * (tbl_InventorySupplier[supplier_stock] &gt;= (100 - tbl_InventorySupplier[internal_stock])) * tbl_InventorySupplier[supplier_stock] * tbl_InventorySupplier[current_supplier_cost])</f>
        <v>789157.55000000016</v>
      </c>
      <c r="N39" s="68"/>
      <c r="O39" s="70" t="s">
        <v>1101</v>
      </c>
      <c r="P39" s="70"/>
      <c r="Q39" s="70"/>
      <c r="R39" s="70"/>
      <c r="S39" s="42"/>
      <c r="T39" s="15"/>
      <c r="U39" s="15"/>
      <c r="V39" s="15"/>
      <c r="W39" s="15"/>
      <c r="X39" s="15"/>
      <c r="Y39" s="15"/>
      <c r="Z39" s="15"/>
      <c r="AA39" s="15"/>
      <c r="AB39" s="29"/>
      <c r="AC39" s="29"/>
      <c r="AD39" s="29"/>
      <c r="AE39" s="29"/>
      <c r="AF39" s="29"/>
    </row>
    <row r="40" spans="1:32">
      <c r="A40" s="29"/>
      <c r="B40" s="31"/>
      <c r="C40" s="75" t="s">
        <v>1102</v>
      </c>
      <c r="D40" s="75"/>
      <c r="E40" s="75"/>
      <c r="F40" s="45" cm="1">
        <f t="array" ref="F40">SUMPRODUCT((tbl_InventorySupplier[internal_stock] &lt;= tbl_InventorySupplier[reorder_point]) * (tbl_InventorySupplier[supplier_stock] &lt; (100 - tbl_InventorySupplier[internal_stock])))</f>
        <v>21</v>
      </c>
      <c r="G40" s="74" cm="1">
        <f t="array" ref="G40">SUMPRODUCT((tbl_InventorySupplier[internal_stock] &lt;= tbl_InventorySupplier[reorder_point]) * (tbl_InventorySupplier[supplier_stock] &lt; (100 - tbl_InventorySupplier[internal_stock])) * tbl_InventorySupplier[internal_stock])</f>
        <v>112</v>
      </c>
      <c r="H40" s="74"/>
      <c r="I40" s="72" cm="1">
        <f t="array" ref="I40">SUMPRODUCT((tbl_InventorySupplier[internal_stock] &lt;= tbl_InventorySupplier[reorder_point]) * (tbl_InventorySupplier[supplier_stock] &lt; (100 - tbl_InventorySupplier[internal_stock])) * tbl_InventorySupplier[internal_stock] * tbl_InventorySupplier[current_supplier_cost])</f>
        <v>3929.12</v>
      </c>
      <c r="J40" s="72"/>
      <c r="K40" s="74" cm="1">
        <f t="array" ref="K40">SUMPRODUCT((tbl_InventorySupplier[internal_stock] &lt;= tbl_InventorySupplier[reorder_point]) * (tbl_InventorySupplier[supplier_stock] &lt; (100 - tbl_InventorySupplier[internal_stock])) * tbl_InventorySupplier[supplier_stock])</f>
        <v>944</v>
      </c>
      <c r="L40" s="74"/>
      <c r="M40" s="68" cm="1">
        <f t="array" ref="M40">SUMPRODUCT((tbl_InventorySupplier[internal_stock] &lt;= tbl_InventorySupplier[reorder_point]) * (tbl_InventorySupplier[supplier_stock] &lt; (100 - tbl_InventorySupplier[internal_stock])) * tbl_InventorySupplier[supplier_stock] * tbl_InventorySupplier[current_supplier_cost])</f>
        <v>40890.76</v>
      </c>
      <c r="N40" s="68"/>
      <c r="O40" s="70" t="s">
        <v>1103</v>
      </c>
      <c r="P40" s="70"/>
      <c r="Q40" s="70"/>
      <c r="R40" s="70"/>
      <c r="S40" s="42"/>
      <c r="T40" s="15"/>
      <c r="U40" s="15"/>
      <c r="V40" s="15"/>
      <c r="W40" s="15"/>
      <c r="X40" s="15"/>
      <c r="Y40" s="15"/>
      <c r="Z40" s="15"/>
      <c r="AA40" s="15"/>
      <c r="AB40" s="29"/>
      <c r="AC40" s="29"/>
      <c r="AD40" s="29"/>
      <c r="AE40" s="29"/>
      <c r="AF40" s="29"/>
    </row>
    <row r="41" spans="1:32">
      <c r="A41" s="29"/>
      <c r="B41" s="31"/>
      <c r="C41" s="75" t="s">
        <v>1104</v>
      </c>
      <c r="D41" s="75"/>
      <c r="E41" s="75"/>
      <c r="F41" s="45">
        <f>COUNTA(tbl_InventorySupplier[consolidated_sku]) - SUM(F34:F40)</f>
        <v>368</v>
      </c>
      <c r="G41" s="74">
        <f>SUM(tbl_InventorySupplier[internal_stock])-SUM(G34:H40)</f>
        <v>23079</v>
      </c>
      <c r="H41" s="74"/>
      <c r="I41" s="72" cm="1">
        <f t="array" ref="I41">SUM(tbl_InventorySupplier[internal_stock]*tbl_InventorySupplier[current_supplier_cost])-SUM(I34:J40)</f>
        <v>873024.57000000076</v>
      </c>
      <c r="J41" s="72"/>
      <c r="K41" s="74">
        <f>SUM(tbl_InventorySupplier[supplier_stock])-SUM(K34:L40)</f>
        <v>90801</v>
      </c>
      <c r="L41" s="74"/>
      <c r="M41" s="68" cm="1">
        <f t="array" ref="M41">SUM(tbl_InventorySupplier[supplier_stock] * tbl_InventorySupplier[current_supplier_cost])-SUM(M34:N40)</f>
        <v>3198661.1799999992</v>
      </c>
      <c r="N41" s="68"/>
      <c r="O41" s="70" t="s">
        <v>1105</v>
      </c>
      <c r="P41" s="70"/>
      <c r="Q41" s="70"/>
      <c r="R41" s="70"/>
      <c r="S41" s="42"/>
      <c r="T41" s="15"/>
      <c r="U41" s="15"/>
      <c r="V41" s="15"/>
      <c r="W41" s="15"/>
      <c r="X41" s="15"/>
      <c r="Y41" s="15"/>
      <c r="Z41" s="15"/>
      <c r="AA41" s="15"/>
      <c r="AB41" s="29"/>
      <c r="AC41" s="29"/>
      <c r="AD41" s="29"/>
      <c r="AE41" s="29"/>
      <c r="AF41" s="29"/>
    </row>
    <row r="42" spans="1:32">
      <c r="A42" s="29"/>
      <c r="B42" s="31"/>
      <c r="C42" s="77"/>
      <c r="D42" s="77"/>
      <c r="E42" s="77"/>
      <c r="F42" s="45"/>
      <c r="G42" s="78"/>
      <c r="H42" s="78"/>
      <c r="I42" s="81"/>
      <c r="J42" s="81"/>
      <c r="K42" s="78"/>
      <c r="L42" s="78"/>
      <c r="M42" s="79"/>
      <c r="N42" s="79"/>
      <c r="O42" s="76"/>
      <c r="P42" s="76"/>
      <c r="Q42" s="76"/>
      <c r="R42" s="76"/>
      <c r="S42" s="42"/>
      <c r="T42" s="15"/>
      <c r="U42" s="15"/>
      <c r="V42" s="15"/>
      <c r="W42" s="15"/>
      <c r="X42" s="15"/>
      <c r="Y42" s="15"/>
      <c r="Z42" s="15"/>
      <c r="AA42" s="15"/>
      <c r="AB42" s="29"/>
      <c r="AC42" s="29"/>
      <c r="AD42" s="29"/>
      <c r="AE42" s="29"/>
      <c r="AF42" s="29"/>
    </row>
    <row r="43" spans="1:32">
      <c r="A43" s="29"/>
      <c r="B43" s="31"/>
      <c r="C43" s="92" t="s">
        <v>1106</v>
      </c>
      <c r="D43" s="92"/>
      <c r="E43" s="92"/>
      <c r="F43" s="93">
        <f>SUM(F34:F41)</f>
        <v>505</v>
      </c>
      <c r="G43" s="94">
        <f>SUM(G34:H41)</f>
        <v>25438</v>
      </c>
      <c r="H43" s="94"/>
      <c r="I43" s="95">
        <f>SUM(I34:J41)</f>
        <v>985340.8600000008</v>
      </c>
      <c r="J43" s="95"/>
      <c r="K43" s="94">
        <f>SUM(K34:L41)</f>
        <v>121364</v>
      </c>
      <c r="L43" s="94"/>
      <c r="M43" s="95">
        <f>SUM(M34:N41)</f>
        <v>4576406.8199999994</v>
      </c>
      <c r="N43" s="95"/>
      <c r="O43" s="96"/>
      <c r="P43" s="96"/>
      <c r="Q43" s="96"/>
      <c r="R43" s="96"/>
      <c r="S43" s="42"/>
      <c r="T43" s="15"/>
      <c r="U43" s="15"/>
      <c r="V43" s="15"/>
      <c r="W43" s="15"/>
      <c r="X43" s="15"/>
      <c r="Y43" s="15"/>
      <c r="Z43" s="15"/>
      <c r="AA43" s="15"/>
      <c r="AB43" s="29"/>
      <c r="AC43" s="29"/>
      <c r="AD43" s="29"/>
      <c r="AE43" s="29"/>
      <c r="AF43" s="29"/>
    </row>
    <row r="44" spans="1:32">
      <c r="A44" s="29"/>
      <c r="B44" s="33"/>
      <c r="C44" s="34"/>
      <c r="D44" s="34"/>
      <c r="E44" s="34"/>
      <c r="F44" s="47"/>
      <c r="G44" s="80"/>
      <c r="H44" s="80"/>
      <c r="I44" s="34"/>
      <c r="J44" s="34"/>
      <c r="K44" s="48"/>
      <c r="L44" s="48"/>
      <c r="M44" s="48"/>
      <c r="N44" s="48"/>
      <c r="O44" s="48"/>
      <c r="P44" s="48"/>
      <c r="Q44" s="48"/>
      <c r="R44" s="48"/>
      <c r="S44" s="49"/>
      <c r="T44" s="15"/>
      <c r="U44" s="15"/>
      <c r="V44" s="15"/>
      <c r="W44" s="15"/>
      <c r="X44" s="15"/>
      <c r="Y44" s="15"/>
      <c r="Z44" s="15"/>
      <c r="AA44" s="15"/>
      <c r="AB44" s="29"/>
      <c r="AC44" s="29"/>
      <c r="AD44" s="29"/>
      <c r="AE44" s="29"/>
      <c r="AF44" s="29"/>
    </row>
    <row r="45" spans="1:32">
      <c r="A45" s="29"/>
      <c r="T45" s="15"/>
      <c r="U45" s="15"/>
      <c r="V45" s="15"/>
      <c r="W45" s="15"/>
      <c r="X45" s="15"/>
      <c r="Y45" s="15"/>
      <c r="Z45" s="15"/>
      <c r="AA45" s="15"/>
      <c r="AB45" s="29"/>
      <c r="AC45" s="29"/>
      <c r="AD45" s="29"/>
      <c r="AE45" s="29"/>
      <c r="AF45" s="29"/>
    </row>
    <row r="46" spans="1:32">
      <c r="A46" s="29"/>
      <c r="T46" s="15"/>
      <c r="U46" s="15"/>
      <c r="V46" s="15"/>
      <c r="W46" s="15"/>
      <c r="X46" s="15"/>
      <c r="Y46" s="15"/>
      <c r="Z46" s="15"/>
      <c r="AA46" s="15"/>
      <c r="AB46" s="29"/>
      <c r="AC46" s="29"/>
      <c r="AD46" s="29"/>
      <c r="AE46" s="29"/>
      <c r="AF46" s="29"/>
    </row>
    <row r="47" spans="1:32" ht="13.5" customHeight="1">
      <c r="A47" s="29"/>
      <c r="T47" s="15"/>
      <c r="U47" s="15"/>
      <c r="V47" s="15"/>
      <c r="W47" s="15"/>
      <c r="X47" s="15"/>
      <c r="Y47" s="15"/>
      <c r="Z47" s="15"/>
      <c r="AA47" s="15"/>
      <c r="AB47" s="29"/>
      <c r="AC47" s="29"/>
      <c r="AD47" s="29"/>
      <c r="AE47" s="29"/>
      <c r="AF47" s="29"/>
    </row>
    <row r="48" spans="1:32" ht="19.5" customHeight="1">
      <c r="A48" s="29"/>
      <c r="F48" s="29"/>
      <c r="G48" s="29"/>
      <c r="H48" s="29"/>
      <c r="I48" s="29"/>
      <c r="J48" s="29"/>
      <c r="K48" s="29"/>
      <c r="T48" s="15"/>
      <c r="U48" s="15"/>
      <c r="V48" s="15"/>
      <c r="W48" s="15"/>
      <c r="X48" s="15"/>
      <c r="Y48" s="15"/>
      <c r="Z48" s="15"/>
      <c r="AA48" s="15"/>
      <c r="AB48" s="29"/>
      <c r="AC48" s="29"/>
      <c r="AD48" s="29"/>
      <c r="AE48" s="29"/>
      <c r="AF48" s="29"/>
    </row>
    <row r="49" spans="1:32">
      <c r="A49" s="29"/>
      <c r="F49" s="29"/>
      <c r="G49" s="29"/>
      <c r="H49" s="29"/>
      <c r="I49" s="29"/>
      <c r="J49" s="29"/>
      <c r="K49" s="29"/>
      <c r="T49" s="15"/>
      <c r="U49" s="15"/>
      <c r="V49" s="15"/>
      <c r="W49" s="15"/>
      <c r="X49" s="15"/>
      <c r="Y49" s="15"/>
      <c r="Z49" s="15"/>
      <c r="AA49" s="15"/>
      <c r="AB49" s="29"/>
      <c r="AC49" s="29"/>
      <c r="AD49" s="29"/>
      <c r="AE49" s="29"/>
      <c r="AF49" s="29"/>
    </row>
    <row r="50" spans="1:32">
      <c r="A50" s="29"/>
      <c r="E50" s="29"/>
      <c r="F50" s="29"/>
      <c r="G50" s="29"/>
      <c r="H50" s="29"/>
      <c r="I50" s="29"/>
      <c r="J50" s="29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29"/>
      <c r="AC50" s="29"/>
      <c r="AD50" s="29"/>
      <c r="AE50" s="29"/>
      <c r="AF50" s="29"/>
    </row>
    <row r="51" spans="1:32">
      <c r="A51" s="29"/>
      <c r="E51" s="29"/>
      <c r="F51" s="29"/>
      <c r="G51" s="29"/>
      <c r="H51" s="29"/>
      <c r="I51" s="29"/>
      <c r="J51" s="29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29"/>
      <c r="AC51" s="29"/>
      <c r="AD51" s="29"/>
      <c r="AE51" s="29"/>
      <c r="AF51" s="29"/>
    </row>
    <row r="52" spans="1:32">
      <c r="A52" s="29"/>
      <c r="E52" s="29"/>
      <c r="F52" s="29"/>
      <c r="G52" s="29"/>
      <c r="H52" s="29"/>
      <c r="I52" s="29"/>
      <c r="J52" s="29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32">
      <c r="A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spans="1:3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1:3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3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</row>
    <row r="57" spans="1:3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</row>
    <row r="58" spans="1:3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</row>
    <row r="59" spans="1:3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</row>
    <row r="60" spans="1:3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</row>
    <row r="61" spans="1:3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</row>
    <row r="62" spans="1:3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</row>
    <row r="63" spans="1:3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</row>
    <row r="64" spans="1:32">
      <c r="A64" s="29"/>
      <c r="B64" s="29"/>
      <c r="F64" s="29"/>
      <c r="G64" s="29"/>
      <c r="H64" s="29"/>
      <c r="I64" s="29"/>
      <c r="J64" s="29"/>
      <c r="K64" s="29"/>
    </row>
    <row r="65" spans="1:11">
      <c r="A65" s="29"/>
      <c r="B65" s="29"/>
      <c r="F65" s="29"/>
      <c r="G65" s="29"/>
      <c r="H65" s="29"/>
      <c r="I65" s="29"/>
      <c r="J65" s="29"/>
      <c r="K65" s="29"/>
    </row>
    <row r="66" spans="1:11">
      <c r="A66" s="29"/>
      <c r="B66" s="29"/>
      <c r="F66" s="29"/>
      <c r="G66" s="29"/>
      <c r="H66" s="29"/>
      <c r="I66" s="29"/>
      <c r="J66" s="29"/>
      <c r="K66" s="29"/>
    </row>
    <row r="67" spans="1:11">
      <c r="A67" s="29"/>
      <c r="B67" s="29"/>
      <c r="F67" s="29"/>
      <c r="G67" s="29"/>
      <c r="H67" s="29"/>
      <c r="I67" s="29"/>
      <c r="J67" s="29"/>
      <c r="K67" s="29"/>
    </row>
    <row r="68" spans="1:11">
      <c r="A68" s="29"/>
      <c r="B68" s="29"/>
      <c r="F68" s="29"/>
      <c r="G68" s="29"/>
      <c r="H68" s="29"/>
      <c r="I68" s="29"/>
      <c r="J68" s="29"/>
      <c r="K68" s="29"/>
    </row>
  </sheetData>
  <mergeCells count="90">
    <mergeCell ref="V2:Y2"/>
    <mergeCell ref="V3:Y3"/>
    <mergeCell ref="V4:Y4"/>
    <mergeCell ref="Q2:T2"/>
    <mergeCell ref="Q3:T3"/>
    <mergeCell ref="Q4:T4"/>
    <mergeCell ref="C37:E37"/>
    <mergeCell ref="I34:J34"/>
    <mergeCell ref="I35:J35"/>
    <mergeCell ref="M32:N32"/>
    <mergeCell ref="M33:N33"/>
    <mergeCell ref="B2:E2"/>
    <mergeCell ref="B3:E3"/>
    <mergeCell ref="B4:E4"/>
    <mergeCell ref="H1:S1"/>
    <mergeCell ref="L2:O2"/>
    <mergeCell ref="L3:O3"/>
    <mergeCell ref="L4:O4"/>
    <mergeCell ref="G2:J2"/>
    <mergeCell ref="G3:J3"/>
    <mergeCell ref="G4:J4"/>
    <mergeCell ref="K43:L43"/>
    <mergeCell ref="G42:H42"/>
    <mergeCell ref="G43:H43"/>
    <mergeCell ref="G44:H44"/>
    <mergeCell ref="G37:H37"/>
    <mergeCell ref="I37:J37"/>
    <mergeCell ref="K37:L37"/>
    <mergeCell ref="I42:J42"/>
    <mergeCell ref="I43:J43"/>
    <mergeCell ref="G39:H39"/>
    <mergeCell ref="G40:H40"/>
    <mergeCell ref="G41:H41"/>
    <mergeCell ref="I39:J39"/>
    <mergeCell ref="I40:J40"/>
    <mergeCell ref="I41:J41"/>
    <mergeCell ref="K41:L41"/>
    <mergeCell ref="K42:L42"/>
    <mergeCell ref="M39:N39"/>
    <mergeCell ref="M40:N40"/>
    <mergeCell ref="M41:N41"/>
    <mergeCell ref="M42:N42"/>
    <mergeCell ref="C36:E36"/>
    <mergeCell ref="C38:E38"/>
    <mergeCell ref="G38:H38"/>
    <mergeCell ref="M43:N43"/>
    <mergeCell ref="O40:R40"/>
    <mergeCell ref="O41:R41"/>
    <mergeCell ref="O42:R42"/>
    <mergeCell ref="O43:R43"/>
    <mergeCell ref="C39:E39"/>
    <mergeCell ref="C40:E40"/>
    <mergeCell ref="C41:E41"/>
    <mergeCell ref="C42:E42"/>
    <mergeCell ref="C43:E43"/>
    <mergeCell ref="O39:R39"/>
    <mergeCell ref="K39:L39"/>
    <mergeCell ref="K40:L40"/>
    <mergeCell ref="G36:H36"/>
    <mergeCell ref="M34:N34"/>
    <mergeCell ref="M35:N35"/>
    <mergeCell ref="K36:L36"/>
    <mergeCell ref="K38:L38"/>
    <mergeCell ref="M37:N37"/>
    <mergeCell ref="C32:E32"/>
    <mergeCell ref="C33:E33"/>
    <mergeCell ref="C34:E34"/>
    <mergeCell ref="C35:E35"/>
    <mergeCell ref="I32:J32"/>
    <mergeCell ref="I33:J33"/>
    <mergeCell ref="G32:H32"/>
    <mergeCell ref="G33:H33"/>
    <mergeCell ref="G34:H34"/>
    <mergeCell ref="G35:H35"/>
    <mergeCell ref="F28:N29"/>
    <mergeCell ref="M36:N36"/>
    <mergeCell ref="M38:N38"/>
    <mergeCell ref="O32:R32"/>
    <mergeCell ref="O33:R33"/>
    <mergeCell ref="O34:R34"/>
    <mergeCell ref="O35:R35"/>
    <mergeCell ref="O36:R36"/>
    <mergeCell ref="O37:R37"/>
    <mergeCell ref="O38:R38"/>
    <mergeCell ref="I36:J36"/>
    <mergeCell ref="I38:J38"/>
    <mergeCell ref="K32:L32"/>
    <mergeCell ref="K33:L33"/>
    <mergeCell ref="K34:L34"/>
    <mergeCell ref="K35:L3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E0DC-3002-4371-B134-885BE685C711}">
  <dimension ref="A2:P29"/>
  <sheetViews>
    <sheetView workbookViewId="0">
      <selection activeCell="H23" sqref="H23"/>
    </sheetView>
  </sheetViews>
  <sheetFormatPr defaultRowHeight="15"/>
  <cols>
    <col min="1" max="1" width="19.85546875" customWidth="1"/>
    <col min="2" max="2" width="26" customWidth="1"/>
    <col min="3" max="3" width="26.28515625" customWidth="1"/>
    <col min="5" max="5" width="29.28515625" customWidth="1"/>
    <col min="6" max="6" width="17.5703125" customWidth="1"/>
    <col min="7" max="7" width="22.140625" customWidth="1"/>
    <col min="8" max="8" width="33" bestFit="1" customWidth="1"/>
    <col min="9" max="21" width="10.7109375" customWidth="1"/>
    <col min="22" max="24" width="11.42578125" bestFit="1" customWidth="1"/>
  </cols>
  <sheetData>
    <row r="2" spans="1:16">
      <c r="H2" s="29"/>
      <c r="I2" s="29"/>
      <c r="J2" s="29"/>
      <c r="K2" s="29"/>
      <c r="L2" s="29"/>
      <c r="M2" s="29"/>
      <c r="N2" s="29"/>
      <c r="O2" s="29"/>
      <c r="P2" s="29"/>
    </row>
    <row r="3" spans="1:16">
      <c r="A3" s="30" t="s">
        <v>1047</v>
      </c>
      <c r="B3" t="s">
        <v>1107</v>
      </c>
      <c r="C3" t="s">
        <v>1108</v>
      </c>
      <c r="E3" s="30" t="s">
        <v>1033</v>
      </c>
      <c r="F3" t="s">
        <v>1109</v>
      </c>
      <c r="H3" s="29"/>
      <c r="I3" s="58"/>
      <c r="J3" s="46"/>
      <c r="K3" s="46"/>
      <c r="L3" s="46"/>
      <c r="M3" s="46"/>
      <c r="N3" s="46"/>
      <c r="O3" s="46"/>
      <c r="P3" s="29"/>
    </row>
    <row r="4" spans="1:16">
      <c r="A4" t="s">
        <v>281</v>
      </c>
      <c r="B4" s="10">
        <v>2495</v>
      </c>
      <c r="C4" s="10">
        <v>12766</v>
      </c>
      <c r="E4" t="s">
        <v>29</v>
      </c>
      <c r="F4" s="1">
        <v>4508588.0400000028</v>
      </c>
      <c r="H4" s="29"/>
      <c r="I4" s="29"/>
      <c r="J4" s="45"/>
      <c r="K4" s="45"/>
      <c r="L4" s="65"/>
      <c r="M4" s="45"/>
      <c r="N4" s="51"/>
      <c r="O4" s="66"/>
      <c r="P4" s="29"/>
    </row>
    <row r="5" spans="1:16">
      <c r="A5" t="s">
        <v>27</v>
      </c>
      <c r="B5" s="10">
        <v>2906</v>
      </c>
      <c r="C5" s="10">
        <v>13656</v>
      </c>
      <c r="E5" t="s">
        <v>127</v>
      </c>
      <c r="F5" s="1">
        <v>-16897.990000000005</v>
      </c>
      <c r="H5" s="29"/>
      <c r="I5" s="29"/>
      <c r="J5" s="45"/>
      <c r="K5" s="45"/>
      <c r="L5" s="65"/>
      <c r="M5" s="45"/>
      <c r="N5" s="51"/>
      <c r="O5" s="66"/>
      <c r="P5" s="29"/>
    </row>
    <row r="6" spans="1:16">
      <c r="A6" t="s">
        <v>78</v>
      </c>
      <c r="B6" s="10">
        <v>3435</v>
      </c>
      <c r="C6" s="10">
        <v>14551</v>
      </c>
      <c r="E6" t="s">
        <v>18</v>
      </c>
      <c r="F6" s="1">
        <v>-78516.159999999989</v>
      </c>
      <c r="H6" s="29"/>
      <c r="I6" s="29"/>
      <c r="J6" s="45"/>
      <c r="K6" s="45"/>
      <c r="L6" s="65"/>
      <c r="M6" s="45"/>
      <c r="N6" s="51"/>
      <c r="O6" s="66"/>
      <c r="P6" s="29"/>
    </row>
    <row r="7" spans="1:16">
      <c r="A7" t="s">
        <v>34</v>
      </c>
      <c r="B7" s="10">
        <v>3165</v>
      </c>
      <c r="C7" s="10">
        <v>15563</v>
      </c>
      <c r="E7" t="s">
        <v>1110</v>
      </c>
      <c r="F7" s="1">
        <v>4413173.8900000025</v>
      </c>
      <c r="I7" s="29"/>
      <c r="J7" s="45"/>
      <c r="K7" s="45"/>
      <c r="L7" s="65"/>
      <c r="M7" s="45"/>
      <c r="N7" s="51"/>
      <c r="O7" s="66"/>
    </row>
    <row r="8" spans="1:16">
      <c r="A8" t="s">
        <v>64</v>
      </c>
      <c r="B8" s="10">
        <v>3901</v>
      </c>
      <c r="C8" s="10">
        <v>17695</v>
      </c>
      <c r="I8" s="29"/>
      <c r="J8" s="45"/>
      <c r="K8" s="45"/>
      <c r="L8" s="65"/>
      <c r="M8" s="45"/>
      <c r="N8" s="51"/>
      <c r="O8" s="67"/>
    </row>
    <row r="9" spans="1:16">
      <c r="A9" t="s">
        <v>122</v>
      </c>
      <c r="B9" s="10">
        <v>3492</v>
      </c>
      <c r="C9" s="10">
        <v>17086</v>
      </c>
      <c r="I9" s="29"/>
      <c r="J9" s="45"/>
      <c r="K9" s="45"/>
      <c r="L9" s="65"/>
      <c r="M9" s="45"/>
      <c r="N9" s="51"/>
      <c r="O9" s="66"/>
    </row>
    <row r="10" spans="1:16">
      <c r="A10" t="s">
        <v>85</v>
      </c>
      <c r="B10" s="10">
        <v>2621</v>
      </c>
      <c r="C10" s="10">
        <v>11837</v>
      </c>
      <c r="E10" s="30" t="s">
        <v>1067</v>
      </c>
      <c r="F10" t="s">
        <v>1111</v>
      </c>
      <c r="G10" t="s">
        <v>1112</v>
      </c>
      <c r="I10" s="29"/>
      <c r="J10" s="45"/>
      <c r="K10" s="45"/>
      <c r="L10" s="65"/>
      <c r="M10" s="45"/>
      <c r="N10" s="51"/>
      <c r="O10" s="66"/>
    </row>
    <row r="11" spans="1:16">
      <c r="A11" t="s">
        <v>39</v>
      </c>
      <c r="B11" s="10">
        <v>3082</v>
      </c>
      <c r="C11" s="10">
        <v>16187</v>
      </c>
      <c r="E11" t="s">
        <v>1072</v>
      </c>
      <c r="F11" s="10">
        <v>5679</v>
      </c>
      <c r="G11" s="10">
        <v>5679</v>
      </c>
      <c r="I11" s="29"/>
      <c r="J11" s="45"/>
      <c r="K11" s="45"/>
      <c r="L11" s="65"/>
      <c r="M11" s="45"/>
      <c r="N11" s="51"/>
      <c r="O11" s="66"/>
    </row>
    <row r="12" spans="1:16">
      <c r="A12" t="s">
        <v>144</v>
      </c>
      <c r="B12" s="10">
        <v>341</v>
      </c>
      <c r="C12" s="10">
        <v>1443</v>
      </c>
      <c r="E12" t="s">
        <v>1073</v>
      </c>
      <c r="F12" s="10">
        <v>1988</v>
      </c>
      <c r="G12" s="10">
        <v>944</v>
      </c>
      <c r="L12" s="56"/>
      <c r="N12" s="57"/>
      <c r="O12" s="55"/>
    </row>
    <row r="13" spans="1:16">
      <c r="A13" t="s">
        <v>1052</v>
      </c>
      <c r="B13" s="10">
        <v>0</v>
      </c>
      <c r="C13" s="10">
        <v>580</v>
      </c>
      <c r="E13" t="s">
        <v>1110</v>
      </c>
      <c r="F13" s="10">
        <v>7667</v>
      </c>
      <c r="G13" s="10">
        <v>6623</v>
      </c>
    </row>
    <row r="14" spans="1:16">
      <c r="A14" t="s">
        <v>1110</v>
      </c>
      <c r="B14" s="10">
        <v>25438</v>
      </c>
      <c r="C14" s="10">
        <v>121364</v>
      </c>
    </row>
    <row r="17" spans="1:7">
      <c r="A17" s="30" t="s">
        <v>1047</v>
      </c>
      <c r="B17" t="s">
        <v>1113</v>
      </c>
      <c r="E17" s="30" t="s">
        <v>1042</v>
      </c>
      <c r="F17" t="s">
        <v>1114</v>
      </c>
    </row>
    <row r="18" spans="1:7">
      <c r="A18" t="s">
        <v>281</v>
      </c>
      <c r="B18" s="1">
        <v>113315.17000000001</v>
      </c>
      <c r="E18" t="s">
        <v>1115</v>
      </c>
      <c r="F18" s="4">
        <v>423</v>
      </c>
    </row>
    <row r="19" spans="1:7">
      <c r="A19" t="s">
        <v>27</v>
      </c>
      <c r="B19" s="1">
        <v>37003.289999999994</v>
      </c>
      <c r="E19" t="s">
        <v>1116</v>
      </c>
      <c r="F19" s="4">
        <v>70</v>
      </c>
    </row>
    <row r="20" spans="1:7">
      <c r="A20" t="s">
        <v>78</v>
      </c>
      <c r="B20" s="1">
        <v>122334.87999999999</v>
      </c>
      <c r="E20" t="s">
        <v>1117</v>
      </c>
      <c r="F20" s="4">
        <v>12</v>
      </c>
    </row>
    <row r="21" spans="1:7">
      <c r="A21" t="s">
        <v>34</v>
      </c>
      <c r="B21" s="1">
        <v>358841.80000000016</v>
      </c>
      <c r="E21" t="s">
        <v>1110</v>
      </c>
      <c r="F21" s="4">
        <v>505</v>
      </c>
    </row>
    <row r="22" spans="1:7">
      <c r="A22" t="s">
        <v>64</v>
      </c>
      <c r="B22" s="1">
        <v>94309.85000000002</v>
      </c>
    </row>
    <row r="23" spans="1:7">
      <c r="A23" t="s">
        <v>122</v>
      </c>
      <c r="B23" s="1">
        <v>114336.84999999996</v>
      </c>
    </row>
    <row r="24" spans="1:7">
      <c r="A24" t="s">
        <v>85</v>
      </c>
      <c r="B24" s="1">
        <v>69474.600000000006</v>
      </c>
      <c r="E24" t="s">
        <v>1118</v>
      </c>
      <c r="F24" t="s">
        <v>1119</v>
      </c>
      <c r="G24" t="s">
        <v>1120</v>
      </c>
    </row>
    <row r="25" spans="1:7">
      <c r="A25" t="s">
        <v>39</v>
      </c>
      <c r="B25" s="1">
        <v>69226.829999999987</v>
      </c>
      <c r="E25" t="s">
        <v>1034</v>
      </c>
      <c r="F25" s="10">
        <f>'03_Executive_Dashboard'!F41</f>
        <v>368</v>
      </c>
      <c r="G25" s="10">
        <f>SUM('03_Executive_Dashboard'!F34:F40)</f>
        <v>137</v>
      </c>
    </row>
    <row r="26" spans="1:7">
      <c r="A26" t="s">
        <v>144</v>
      </c>
      <c r="B26" s="1">
        <v>6497.59</v>
      </c>
      <c r="E26" s="29" t="s">
        <v>1043</v>
      </c>
      <c r="F26" s="45">
        <f>'03_Executive_Dashboard'!G41</f>
        <v>23079</v>
      </c>
      <c r="G26" s="45">
        <f>SUM('03_Executive_Dashboard'!G34:H40)</f>
        <v>2359</v>
      </c>
    </row>
    <row r="27" spans="1:7">
      <c r="A27" t="s">
        <v>1052</v>
      </c>
      <c r="B27" s="1">
        <v>0</v>
      </c>
      <c r="E27" s="29" t="s">
        <v>1087</v>
      </c>
      <c r="F27" s="98">
        <f>'03_Executive_Dashboard'!I41</f>
        <v>873024.57000000076</v>
      </c>
      <c r="G27" s="98">
        <f>SUM('03_Executive_Dashboard'!I34:J40)</f>
        <v>112316.29000000001</v>
      </c>
    </row>
    <row r="28" spans="1:7">
      <c r="A28" t="s">
        <v>1110</v>
      </c>
      <c r="B28" s="1">
        <v>985340.86</v>
      </c>
      <c r="E28" s="29" t="s">
        <v>1035</v>
      </c>
      <c r="F28" s="45">
        <f>'03_Executive_Dashboard'!K41</f>
        <v>90801</v>
      </c>
      <c r="G28" s="45">
        <f>SUM('03_Executive_Dashboard'!K34:L40)</f>
        <v>30563</v>
      </c>
    </row>
    <row r="29" spans="1:7">
      <c r="E29" s="29" t="s">
        <v>1088</v>
      </c>
      <c r="F29" s="98">
        <f>'03_Executive_Dashboard'!M41</f>
        <v>3198661.1799999992</v>
      </c>
      <c r="G29" s="98">
        <f>SUM('03_Executive_Dashboard'!M34:N40)</f>
        <v>1377745.6400000001</v>
      </c>
    </row>
  </sheetData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2026-09-27T21:56:05Z</dcterms:created>
  <dcterms:modified xsi:type="dcterms:W3CDTF">2026-10-19T12:58:57Z</dcterms:modified>
  <cp:category/>
  <cp:contentStatus/>
</cp:coreProperties>
</file>